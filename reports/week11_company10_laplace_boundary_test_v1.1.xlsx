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da6d33dcf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7ef67cd4acc84030"/>
    <x:sheet xmlns:r="http://schemas.openxmlformats.org/officeDocument/2006/relationships" name="公司选择" sheetId="2" r:id="R4fcd49bcff6a477e"/>
    <x:sheet xmlns:r="http://schemas.openxmlformats.org/officeDocument/2006/relationships" name="计算输入" sheetId="3" r:id="Re72afa08f78e4814"/>
    <x:sheet xmlns:r="http://schemas.openxmlformats.org/officeDocument/2006/relationships" name="32变量结果" sheetId="4" r:id="R7da4a41a197447ca"/>
    <x:sheet xmlns:r="http://schemas.openxmlformats.org/officeDocument/2006/relationships" name="复用性评估" sheetId="5" r:id="Rf6a8f4398459435e"/>
    <x:sheet xmlns:r="http://schemas.openxmlformats.org/officeDocument/2006/relationships" name="companies" sheetId="6" r:id="Rb3343f0a412f40e7"/>
    <x:sheet xmlns:r="http://schemas.openxmlformats.org/officeDocument/2006/relationships" name="financing_events" sheetId="7" r:id="Rd52ea32a44284b80"/>
    <x:sheet xmlns:r="http://schemas.openxmlformats.org/officeDocument/2006/relationships" name="transactions" sheetId="8" r:id="R8750d6bcbe994ff8"/>
    <x:sheet xmlns:r="http://schemas.openxmlformats.org/officeDocument/2006/relationships" name="entities" sheetId="9" r:id="R17568a820fa2445f"/>
    <x:sheet xmlns:r="http://schemas.openxmlformats.org/officeDocument/2006/relationships" name="transaction_parties" sheetId="10" r:id="R8dfa4d4bcf6541f5"/>
    <x:sheet xmlns:r="http://schemas.openxmlformats.org/officeDocument/2006/relationships" name="evidence" sheetId="11" r:id="Rebe89ca6e6af4ac8"/>
    <x:sheet xmlns:r="http://schemas.openxmlformats.org/officeDocument/2006/relationships" name="numeric_validation" sheetId="12" r:id="R9b1508e3f3b54bba"/>
    <x:sheet xmlns:r="http://schemas.openxmlformats.org/officeDocument/2006/relationships" name="investment_paths" sheetId="13" r:id="R7d8d39838e3449df"/>
    <x:sheet xmlns:r="http://schemas.openxmlformats.org/officeDocument/2006/relationships" name="validation_issues" sheetId="14" r:id="R17dbda683b75456b"/>
    <x:sheet xmlns:r="http://schemas.openxmlformats.org/officeDocument/2006/relationships" name="验收检查" sheetId="15" r:id="R5e3f1f82184740f2"/>
    <x:sheet xmlns:r="http://schemas.openxmlformats.org/officeDocument/2006/relationships" name="来源与边界" sheetId="16" r:id="Rc1106ecf41ea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.0000"/>
    <x:numFmt numFmtId="202" formatCode="#,##0.000000"/>
    <x:numFmt numFmtId="203" formatCode="0.0000%"/>
  </x:numFmts>
  <x:fonts count="10">
    <x:font>
      <x:sz val="11"/>
      <x:name val="Carlito"/>
    </x:font>
    <x:font>
      <x:b/>
      <x:sz val="15"/>
      <x:color rgb="FFFFFFFF"/>
      <x:name val="Noto Sans SC"/>
    </x:font>
    <x:font>
      <x:i/>
      <x:sz val="10"/>
      <x:color rgb="FF666666"/>
      <x:name val="Noto Sans SC"/>
    </x:font>
    <x:font>
      <x:b/>
      <x:sz val="11"/>
      <x:color rgb="FFFFFFFF"/>
      <x:name val="Noto Sans SC"/>
    </x:font>
    <x:font>
      <x:sz val="10"/>
      <x:color rgb="FF404040"/>
      <x:name val="Noto Sans SC"/>
    </x:font>
    <x:font>
      <x:b/>
      <x:sz val="11"/>
      <x:color rgb="FF9C6500"/>
      <x:name val="Noto Sans SC"/>
    </x:font>
    <x:font>
      <x:b/>
      <x:sz val="10"/>
      <x:color rgb="FF267326"/>
      <x:name val="Noto Sans SC"/>
    </x:font>
    <x:font>
      <x:sz val="10"/>
      <x:color rgb="FF9C6500"/>
      <x:name val="Noto Sans SC"/>
    </x:font>
    <x:font>
      <x:sz val="10"/>
      <x:color rgb="FF267326"/>
      <x:name val="Noto Sans SC"/>
    </x:font>
    <x:font>
      <x:sz val="11"/>
      <x:name val="Noto Sans S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6847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267326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bb2c85a9f4ec3" /><Relationship Type="http://schemas.openxmlformats.org/officeDocument/2006/relationships/theme" Target="/xl/theme/theme1.xml" Id="Rb92d1556e6074ad4" /><Relationship Type="http://schemas.microsoft.com/office/2022/11/relationships/FeaturePropertyBag" Target="/xl/featurePropertyBag/featurePropertyBag.xml" Id="Rc3d2febb80554200" /><Relationship Type="http://schemas.openxmlformats.org/officeDocument/2006/relationships/sharedStrings" Target="/xl/sharedStrings.xml" Id="R72626221c1074cfe" /><Relationship Type="http://schemas.openxmlformats.org/officeDocument/2006/relationships/worksheet" Target="/xl/worksheets/sheet1.xml" Id="R7ef67cd4acc84030" /><Relationship Type="http://schemas.openxmlformats.org/officeDocument/2006/relationships/worksheet" Target="/xl/worksheets/sheet2.xml" Id="R4fcd49bcff6a477e" /><Relationship Type="http://schemas.openxmlformats.org/officeDocument/2006/relationships/worksheet" Target="/xl/worksheets/sheet3.xml" Id="Re72afa08f78e4814" /><Relationship Type="http://schemas.openxmlformats.org/officeDocument/2006/relationships/worksheet" Target="/xl/worksheets/sheet4.xml" Id="R7da4a41a197447ca" /><Relationship Type="http://schemas.openxmlformats.org/officeDocument/2006/relationships/worksheet" Target="/xl/worksheets/sheet5.xml" Id="Rf6a8f4398459435e" /><Relationship Type="http://schemas.openxmlformats.org/officeDocument/2006/relationships/worksheet" Target="/xl/worksheets/sheet6.xml" Id="Rb3343f0a412f40e7" /><Relationship Type="http://schemas.openxmlformats.org/officeDocument/2006/relationships/worksheet" Target="/xl/worksheets/sheet7.xml" Id="Rd52ea32a44284b80" /><Relationship Type="http://schemas.openxmlformats.org/officeDocument/2006/relationships/worksheet" Target="/xl/worksheets/sheet8.xml" Id="R8750d6bcbe994ff8" /><Relationship Type="http://schemas.openxmlformats.org/officeDocument/2006/relationships/worksheet" Target="/xl/worksheets/sheet9.xml" Id="R17568a820fa2445f" /><Relationship Type="http://schemas.openxmlformats.org/officeDocument/2006/relationships/worksheet" Target="/xl/worksheets/sheet10.xml" Id="R8dfa4d4bcf6541f5" /><Relationship Type="http://schemas.openxmlformats.org/officeDocument/2006/relationships/worksheet" Target="/xl/worksheets/sheet11.xml" Id="Rebe89ca6e6af4ac8" /><Relationship Type="http://schemas.openxmlformats.org/officeDocument/2006/relationships/worksheet" Target="/xl/worksheets/sheet12.xml" Id="R9b1508e3f3b54bba" /><Relationship Type="http://schemas.openxmlformats.org/officeDocument/2006/relationships/worksheet" Target="/xl/worksheets/sheet13.xml" Id="R7d8d39838e3449df" /><Relationship Type="http://schemas.openxmlformats.org/officeDocument/2006/relationships/worksheet" Target="/xl/worksheets/sheet14.xml" Id="R17dbda683b75456b" /><Relationship Type="http://schemas.openxmlformats.org/officeDocument/2006/relationships/worksheet" Target="/xl/worksheets/sheet15.xml" Id="R5e3f1f82184740f2" /><Relationship Type="http://schemas.openxmlformats.org/officeDocument/2006/relationships/worksheet" Target="/xl/worksheets/sheet16.xml" Id="Rc1106ecf41ea48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6" hidden="0" customWidth="1"/>
    <x:col min="5" max="5" width="22" hidden="0" customWidth="1"/>
    <x:col min="6" max="6" width="24" hidden="0" customWidth="1"/>
    <x:col min="7" max="7" width="22" hidden="0" customWidth="1"/>
    <x:col min="8" max="8" width="34" hidden="0" customWidth="1"/>
  </x:cols>
  <x:sheetData>
    <x:row r="1" ht="30" customHeight="1">
      <x:c r="A1" s="3" t="str">
        <x:v>Week 11 · 第十家公司边界实验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以拉普拉斯（688726）测试Week 8—10成果及同周第九家公司规则：不改冻结层，新增独立扩展层，并把观察窗缺口作为研究边界。</x:v>
      </x:c>
      <x:c r="B2" s="7"/>
      <x:c r="C2" s="7"/>
      <x:c r="D2" s="7"/>
      <x:c r="E2" s="7"/>
      <x:c r="F2" s="7"/>
      <x:c r="G2" s="7"/>
      <x:c r="H2" s="7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 ht="30" customHeight="1">
      <x:c r="A4" s="19" t="str">
        <x:v>基线</x:v>
      </x:c>
      <x:c r="B4" s="20" t="str">
        <x:v>结果</x:v>
      </x:c>
      <x:c r="C4" s="20" t="str">
        <x:v>结构</x:v>
      </x:c>
      <x:c r="D4" s="20" t="str">
        <x:v>结果</x:v>
      </x:c>
      <x:c r="E4" s="20" t="str">
        <x:v>变量</x:v>
      </x:c>
      <x:c r="F4" s="20" t="str">
        <x:v>结果</x:v>
      </x:c>
      <x:c r="G4" s="20" t="str">
        <x:v>公司</x:v>
      </x:c>
      <x:c r="H4" s="21" t="str">
        <x:v>结果</x:v>
      </x:c>
    </x:row>
    <x:row r="5">
      <x:c r="A5" s="29" t="str">
        <x:v>Schema</x:v>
      </x:c>
      <x:c r="B5" s="29" t="str">
        <x:v>Week 8 v1.0</x:v>
      </x:c>
      <x:c r="C5" s="29" t="str">
        <x:v>标准表</x:v>
      </x:c>
      <x:c r="D5" s="29" t="n">
        <x:v>9</x:v>
      </x:c>
      <x:c r="E5" s="29" t="str">
        <x:v>冻结变量</x:v>
      </x:c>
      <x:c r="F5" s="29" t="n">
        <x:v>32</x:v>
      </x:c>
      <x:c r="G5" s="29" t="str">
        <x:v>第十家公司</x:v>
      </x:c>
      <x:c r="H5" s="29" t="str">
        <x:v>拉普拉斯</x:v>
      </x:c>
    </x:row>
    <x:row r="6">
      <x:c r="A6" s="30" t="str">
        <x:v>可核验融资轮</x:v>
      </x:c>
      <x:c r="B6" s="30" t="n">
        <x:v>11</x:v>
      </x:c>
      <x:c r="C6" s="30" t="str">
        <x:v>融资金额下限</x:v>
      </x:c>
      <x:c r="D6" s="32" t="n">
        <x:v>167442.1046</x:v>
      </x:c>
      <x:c r="E6" s="30" t="str">
        <x:v>老股转让</x:v>
      </x:c>
      <x:c r="F6" s="30" t="n">
        <x:v>32</x:v>
      </x:c>
      <x:c r="G6" s="30" t="str">
        <x:v>确认PE/VC</x:v>
      </x:c>
      <x:c r="H6" s="30" t="n">
        <x:v>29</x:v>
      </x:c>
    </x:row>
    <x:row r="7">
      <x:c r="A7" s="31" t="str">
        <x:v>变量已计算</x:v>
      </x:c>
      <x:c r="B7" s="31" t="n">
        <x:v>32</x:v>
      </x:c>
      <x:c r="C7" s="31" t="str">
        <x:v>有限制变量</x:v>
      </x:c>
      <x:c r="D7" s="31" t="n">
        <x:v>31</x:v>
      </x:c>
      <x:c r="E7" s="31" t="str">
        <x:v>Schema强制改动</x:v>
      </x:c>
      <x:c r="F7" s="31" t="n">
        <x:v>0</x:v>
      </x:c>
      <x:c r="G7" s="31" t="str">
        <x:v>验收FAIL</x:v>
      </x:c>
      <x:c r="H7" s="31" t="n">
        <x:v>0</x:v>
      </x:c>
    </x:row>
    <x:row r="8">
      <x:c r="A8" s="78"/>
      <x:c r="B8" s="78"/>
      <x:c r="C8" s="78"/>
      <x:c r="D8" s="78"/>
      <x:c r="E8" s="78"/>
      <x:c r="F8" s="78"/>
      <x:c r="G8" s="78"/>
      <x:c r="H8" s="78"/>
    </x:row>
    <x:row r="9" ht="24" customHeight="1">
      <x:c r="A9" s="33" t="str">
        <x:v>实验结论</x:v>
      </x:c>
      <x:c r="B9" s="33"/>
      <x:c r="C9" s="33"/>
      <x:c r="D9" s="33"/>
      <x:c r="E9" s="33"/>
      <x:c r="F9" s="33"/>
      <x:c r="G9" s="33"/>
      <x:c r="H9" s="33"/>
    </x:row>
    <x:row r="10" ht="34" customHeight="1">
      <x:c r="A10" s="37" t="str">
        <x:v>现有9张表均能承载拉普拉斯的复合事件、同月多轮、员工平台和29名备案基金，32个变量也都能运行。但2016年设立至报告期初的28.7089万元股本变化未逐笔披露，因此31个变量必须按2020—2022可核验观察窗或下限解释。当前不强制建立Schema v1.1；若后续公司反复出现类似缺口，建议增加observation_window_start/end与count_status字段。</x:v>
      </x:c>
      <x:c r="B10" s="37"/>
      <x:c r="C10" s="37"/>
      <x:c r="D10" s="37"/>
      <x:c r="E10" s="37"/>
      <x:c r="F10" s="37"/>
      <x:c r="G10" s="37"/>
      <x:c r="H10" s="37"/>
    </x:row>
    <x:row r="11" ht="34" customHeight="1">
      <x:c r="A11" s="37"/>
      <x:c r="B11" s="37"/>
      <x:c r="C11" s="37"/>
      <x:c r="D11" s="37"/>
      <x:c r="E11" s="37"/>
      <x:c r="F11" s="37"/>
      <x:c r="G11" s="37"/>
      <x:c r="H11" s="37"/>
    </x:row>
    <x:row r="12" ht="34" customHeight="1">
      <x:c r="A12" s="37"/>
      <x:c r="B12" s="37"/>
      <x:c r="C12" s="37"/>
      <x:c r="D12" s="37"/>
      <x:c r="E12" s="37"/>
      <x:c r="F12" s="37"/>
      <x:c r="G12" s="37"/>
      <x:c r="H12" s="37"/>
    </x:row>
  </x:sheetData>
  <x:mergeCells>
    <x:mergeCell ref="A1:H1"/>
    <x:mergeCell ref="A2:H2"/>
    <x:mergeCell ref="A9:H9"/>
    <x:mergeCell ref="A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38" hidden="0" customWidth="1"/>
    <x:col min="4" max="4" width="12" hidden="0" customWidth="1"/>
    <x:col min="5" max="5" width="36" hidden="0" customWidth="1"/>
    <x:col min="6" max="6" width="36" hidden="0" customWidth="1"/>
    <x:col min="7" max="7" width="18" hidden="0" customWidth="1"/>
  </x:cols>
  <x:sheetData>
    <x:row r="1" ht="30" customHeight="1">
      <x:c r="A1" s="3" t="str">
        <x:v>第十家公司选择依据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选择目标是测试边界，而不是重复绿联科技的中等复杂度。</x:v>
      </x:c>
      <x:c r="B2" s="7"/>
      <x:c r="C2" s="7"/>
      <x:c r="D2" s="7"/>
      <x:c r="E2" s="7"/>
      <x:c r="F2" s="7"/>
      <x:c r="G2" s="7"/>
    </x:row>
    <x:row r="3">
      <x:c r="A3" s="78"/>
      <x:c r="B3" s="78"/>
      <x:c r="C3" s="78"/>
      <x:c r="D3" s="78"/>
      <x:c r="E3" s="78"/>
      <x:c r="F3" s="78"/>
      <x:c r="G3" s="78"/>
    </x:row>
    <x:row r="4" ht="30" customHeight="1">
      <x:c r="A4" s="19" t="str">
        <x:v>维度</x:v>
      </x:c>
      <x:c r="B4" s="20" t="str">
        <x:v>拉普拉斯表现</x:v>
      </x:c>
      <x:c r="C4" s="20" t="str">
        <x:v>检验价值</x:v>
      </x:c>
      <x:c r="D4" s="20" t="str">
        <x:v>满足</x:v>
      </x:c>
      <x:c r="E4" s="20" t="str">
        <x:v>主要风险</x:v>
      </x:c>
      <x:c r="F4" s="20" t="str">
        <x:v>处理</x:v>
      </x:c>
      <x:c r="G4" s="21" t="str">
        <x:v>判断</x:v>
      </x:c>
    </x:row>
    <x:row r="5">
      <x:c r="A5" s="29" t="str">
        <x:v>多轮融资</x:v>
      </x:c>
      <x:c r="B5" s="29" t="str">
        <x:v>2020—2022可核验11轮增资</x:v>
      </x:c>
      <x:c r="C5" s="29" t="str">
        <x:v>检验融资节奏与峰值</x:v>
      </x:c>
      <x:c r="D5" s="44" t="str">
        <x:v>是</x:v>
      </x:c>
      <x:c r="E5" s="29" t="str">
        <x:v>更早历史未逐笔披露</x:v>
      </x:c>
      <x:c r="F5" s="29" t="str">
        <x:v>按观察窗/下限解释</x:v>
      </x:c>
      <x:c r="G5" s="29" t="str">
        <x:v>边界暴露</x:v>
      </x:c>
    </x:row>
    <x:row r="6">
      <x:c r="A6" s="30" t="str">
        <x:v>同月多轮</x:v>
      </x:c>
      <x:c r="B6" s="30" t="str">
        <x:v>2022年7月、12月均有两轮</x:v>
      </x:c>
      <x:c r="C6" s="30" t="str">
        <x:v>检验事件去重规则</x:v>
      </x:c>
      <x:c r="D6" s="45" t="str">
        <x:v>是</x:v>
      </x:c>
      <x:c r="E6" s="30" t="str">
        <x:v>月份去重会误合并</x:v>
      </x:c>
      <x:c r="F6" s="30" t="str">
        <x:v>使用event_id和sequence</x:v>
      </x:c>
      <x:c r="G6" s="30" t="str">
        <x:v>可复用</x:v>
      </x:c>
    </x:row>
    <x:row r="7">
      <x:c r="A7" s="30" t="str">
        <x:v>复合事件</x:v>
      </x:c>
      <x:c r="B7" s="30" t="str">
        <x:v>2022年5月同一源事件含转让和增资</x:v>
      </x:c>
      <x:c r="C7" s="30" t="str">
        <x:v>检验事件—交易一对多</x:v>
      </x:c>
      <x:c r="D7" s="45" t="str">
        <x:v>是</x:v>
      </x:c>
      <x:c r="E7" s="30" t="str">
        <x:v>单类型会丢信息</x:v>
      </x:c>
      <x:c r="F7" s="30" t="str">
        <x:v>COMPOUND+分交易</x:v>
      </x:c>
      <x:c r="G7" s="30" t="str">
        <x:v>可复用</x:v>
      </x:c>
    </x:row>
    <x:row r="8">
      <x:c r="A8" s="30" t="str">
        <x:v>PE/VC结构</x:v>
      </x:c>
      <x:c r="B8" s="30" t="str">
        <x:v>29名备案基金+17名非备案机构</x:v>
      </x:c>
      <x:c r="C8" s="30" t="str">
        <x:v>检验身份分类边界</x:v>
      </x:c>
      <x:c r="D8" s="45" t="str">
        <x:v>是</x:v>
      </x:c>
      <x:c r="E8" s="30" t="str">
        <x:v>按名称容易误判</x:v>
      </x:c>
      <x:c r="F8" s="30" t="str">
        <x:v>以备案表为确认依据</x:v>
      </x:c>
      <x:c r="G8" s="30" t="str">
        <x:v>可复用</x:v>
      </x:c>
    </x:row>
    <x:row r="9">
      <x:c r="A9" s="31" t="str">
        <x:v>二级交易</x:v>
      </x:c>
      <x:c r="B9" s="31" t="str">
        <x:v>32笔可核验老股转让</x:v>
      </x:c>
      <x:c r="C9" s="31" t="str">
        <x:v>检验一级/二级资金分离</x:v>
      </x:c>
      <x:c r="D9" s="46" t="str">
        <x:v>是</x:v>
      </x:c>
      <x:c r="E9" s="31" t="str">
        <x:v>可能混入融资额</x:v>
      </x:c>
      <x:c r="F9" s="31" t="str">
        <x:v>转让对价单独汇总</x:v>
      </x:c>
      <x:c r="G9" s="31" t="str">
        <x:v>可复用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  <x:col min="9" max="9" width="26" hidden="0" customWidth="1"/>
    <x:col min="10" max="10" width="20" hidden="0" customWidth="1"/>
  </x:cols>
  <x:sheetData>
    <x:row r="1" ht="30" customHeight="1">
      <x:c r="A1" s="3" t="str">
        <x:v>32变量可审计计算输入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11轮融资及关键汇总指标；金额单位为万元人民币。J列为工作簿公式或经标准表核验的输入。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</x:row>
    <x:row r="4" ht="30" customHeight="1">
      <x:c r="A4" s="19" t="str">
        <x:v>轮序</x:v>
      </x:c>
      <x:c r="B4" s="20" t="str">
        <x:v>日期</x:v>
      </x:c>
      <x:c r="C4" s="20" t="str">
        <x:v>事件ID</x:v>
      </x:c>
      <x:c r="D4" s="20" t="str">
        <x:v>金额</x:v>
      </x:c>
      <x:c r="E4" s="20" t="str">
        <x:v>金额来源</x:v>
      </x:c>
      <x:c r="F4" s="20" t="str">
        <x:v>投资人数</x:v>
      </x:c>
      <x:c r="G4" s="20" t="str">
        <x:v>相邻月差</x:v>
      </x:c>
      <x:c r="H4" s="20" t="str">
        <x:v>说明</x:v>
      </x:c>
      <x:c r="I4" s="20" t="str">
        <x:v>指标</x:v>
      </x:c>
      <x:c r="J4" s="21" t="str">
        <x:v>值</x:v>
      </x:c>
    </x:row>
    <x:row r="5">
      <x:c r="A5" s="29" t="n">
        <x:v>1</x:v>
      </x:c>
      <x:c r="B5" s="29" t="str">
        <x:v>2020-04</x:v>
      </x:c>
      <x:c r="C5" s="29" t="str">
        <x:v>EVT-688726-0001</x:v>
      </x:c>
      <x:c r="D5" s="47" t="n">
        <x:v>5000</x:v>
      </x:c>
      <x:c r="E5" s="29" t="str">
        <x:v>DISCLOSED</x:v>
      </x:c>
      <x:c r="F5" s="29" t="n">
        <x:v>1</x:v>
      </x:c>
      <x:c r="G5" s="29"/>
      <x:c r="H5" s="29" t="str">
        <x:v>观察窗首轮</x:v>
      </x:c>
      <x:c r="I5" s="29" t="str">
        <x:v>融资轮数</x:v>
      </x:c>
      <x:c r="J5" s="47" t="n">
        <x:f>COUNTA(A5:A15)</x:f>
        <x:v>11</x:v>
      </x:c>
    </x:row>
    <x:row r="6">
      <x:c r="A6" s="30" t="n">
        <x:v>2</x:v>
      </x:c>
      <x:c r="B6" s="30" t="str">
        <x:v>2020-11</x:v>
      </x:c>
      <x:c r="C6" s="30" t="str">
        <x:v>EVT-688726-0003</x:v>
      </x:c>
      <x:c r="D6" s="48" t="n">
        <x:v>5500</x:v>
      </x:c>
      <x:c r="E6" s="30" t="str">
        <x:v>CALCULATED</x:v>
      </x:c>
      <x:c r="F6" s="30" t="n">
        <x:v>13</x:v>
      </x:c>
      <x:c r="G6" s="30" t="n">
        <x:v>7</x:v>
      </x:c>
      <x:c r="H6" s="30" t="str"/>
      <x:c r="I6" s="30" t="str">
        <x:v>融资金额合计</x:v>
      </x:c>
      <x:c r="J6" s="48" t="n">
        <x:f>SUM(D5:D15)</x:f>
        <x:v>167442.1046</x:v>
      </x:c>
    </x:row>
    <x:row r="7">
      <x:c r="A7" s="30" t="n">
        <x:v>3</x:v>
      </x:c>
      <x:c r="B7" s="30" t="str">
        <x:v>2020-12</x:v>
      </x:c>
      <x:c r="C7" s="30" t="str">
        <x:v>EVT-688726-0004</x:v>
      </x:c>
      <x:c r="D7" s="48" t="n">
        <x:v>1355.1046000000001</x:v>
      </x:c>
      <x:c r="E7" s="30" t="str">
        <x:v>CALCULATED</x:v>
      </x:c>
      <x:c r="F7" s="30" t="n">
        <x:v>3</x:v>
      </x:c>
      <x:c r="G7" s="30" t="n">
        <x:v>1</x:v>
      </x:c>
      <x:c r="H7" s="30" t="str"/>
      <x:c r="I7" s="30" t="str">
        <x:v>已知轮均值</x:v>
      </x:c>
      <x:c r="J7" s="48" t="n">
        <x:f>AVERAGE(D5:D15)</x:f>
        <x:v>15222.009509090909</x:v>
      </x:c>
    </x:row>
    <x:row r="8">
      <x:c r="A8" s="30" t="n">
        <x:v>4</x:v>
      </x:c>
      <x:c r="B8" s="30" t="str">
        <x:v>2021-09</x:v>
      </x:c>
      <x:c r="C8" s="30" t="str">
        <x:v>EVT-688726-0006</x:v>
      </x:c>
      <x:c r="D8" s="48" t="n">
        <x:v>33000</x:v>
      </x:c>
      <x:c r="E8" s="30" t="str">
        <x:v>CALCULATED</x:v>
      </x:c>
      <x:c r="F8" s="30" t="n">
        <x:v>11</x:v>
      </x:c>
      <x:c r="G8" s="30" t="n">
        <x:v>9</x:v>
      </x:c>
      <x:c r="H8" s="30" t="str"/>
      <x:c r="I8" s="30" t="str">
        <x:v>已知轮中位数</x:v>
      </x:c>
      <x:c r="J8" s="48" t="n">
        <x:f>MEDIAN(D5:D15)</x:f>
        <x:v>9200</x:v>
      </x:c>
    </x:row>
    <x:row r="9">
      <x:c r="A9" s="30" t="n">
        <x:v>5</x:v>
      </x:c>
      <x:c r="B9" s="30" t="str">
        <x:v>2021-12</x:v>
      </x:c>
      <x:c r="C9" s="30" t="str">
        <x:v>EVT-688726-0009</x:v>
      </x:c>
      <x:c r="D9" s="48" t="n">
        <x:v>13000</x:v>
      </x:c>
      <x:c r="E9" s="30" t="str">
        <x:v>CALCULATED</x:v>
      </x:c>
      <x:c r="F9" s="30" t="n">
        <x:v>4</x:v>
      </x:c>
      <x:c r="G9" s="30" t="n">
        <x:v>3</x:v>
      </x:c>
      <x:c r="H9" s="30" t="str"/>
      <x:c r="I9" s="30" t="str">
        <x:v>最大单轮</x:v>
      </x:c>
      <x:c r="J9" s="48" t="n">
        <x:f>MAX(D5:D15)</x:f>
        <x:v>67900</x:v>
      </x:c>
    </x:row>
    <x:row r="10">
      <x:c r="A10" s="30" t="n">
        <x:v>6</x:v>
      </x:c>
      <x:c r="B10" s="30" t="str">
        <x:v>2022-05</x:v>
      </x:c>
      <x:c r="C10" s="30" t="str">
        <x:v>EVT-688726-0012</x:v>
      </x:c>
      <x:c r="D10" s="48" t="n">
        <x:v>1000</x:v>
      </x:c>
      <x:c r="E10" s="30" t="str">
        <x:v>DISCLOSED</x:v>
      </x:c>
      <x:c r="F10" s="30" t="n">
        <x:v>1</x:v>
      </x:c>
      <x:c r="G10" s="30" t="n">
        <x:v>5</x:v>
      </x:c>
      <x:c r="H10" s="30" t="str"/>
      <x:c r="I10" s="30" t="str">
        <x:v>最大轮占比</x:v>
      </x:c>
      <x:c r="J10" s="48" t="n">
        <x:f>J9/J6</x:f>
        <x:v>0.4055132976392367</x:v>
      </x:c>
    </x:row>
    <x:row r="11">
      <x:c r="A11" s="30" t="n">
        <x:v>7</x:v>
      </x:c>
      <x:c r="B11" s="30" t="str">
        <x:v>2022-07</x:v>
      </x:c>
      <x:c r="C11" s="30" t="str">
        <x:v>EVT-688726-0013</x:v>
      </x:c>
      <x:c r="D11" s="48" t="n">
        <x:v>11600</x:v>
      </x:c>
      <x:c r="E11" s="30" t="str">
        <x:v>CALCULATED</x:v>
      </x:c>
      <x:c r="F11" s="30" t="n">
        <x:v>4</x:v>
      </x:c>
      <x:c r="G11" s="30" t="n">
        <x:v>2</x:v>
      </x:c>
      <x:c r="H11" s="30" t="str"/>
      <x:c r="I11" s="30" t="str">
        <x:v>融资跨度（月）</x:v>
      </x:c>
      <x:c r="J11" s="48" t="n">
        <x:f>(2022-2020)*12+(12-4)</x:f>
        <x:v>32</x:v>
      </x:c>
    </x:row>
    <x:row r="12">
      <x:c r="A12" s="30" t="n">
        <x:v>8</x:v>
      </x:c>
      <x:c r="B12" s="30" t="str">
        <x:v>2022-07</x:v>
      </x:c>
      <x:c r="C12" s="30" t="str">
        <x:v>EVT-688726-0014</x:v>
      </x:c>
      <x:c r="D12" s="48" t="n">
        <x:v>15900</x:v>
      </x:c>
      <x:c r="E12" s="30" t="str">
        <x:v>CALCULATED</x:v>
      </x:c>
      <x:c r="F12" s="30" t="n">
        <x:v>3</x:v>
      </x:c>
      <x:c r="G12" s="30" t="n">
        <x:v>0</x:v>
      </x:c>
      <x:c r="H12" s="30" t="str">
        <x:v>同月独立事件</x:v>
      </x:c>
      <x:c r="I12" s="30" t="str">
        <x:v>间隔中位数</x:v>
      </x:c>
      <x:c r="J12" s="48" t="n">
        <x:f>MEDIAN(G6:G15)</x:f>
        <x:v>2.5</x:v>
      </x:c>
    </x:row>
    <x:row r="13">
      <x:c r="A13" s="30" t="n">
        <x:v>9</x:v>
      </x:c>
      <x:c r="B13" s="30" t="str">
        <x:v>2022-08</x:v>
      </x:c>
      <x:c r="C13" s="30" t="str">
        <x:v>EVT-688726-0016</x:v>
      </x:c>
      <x:c r="D13" s="48" t="n">
        <x:v>9200</x:v>
      </x:c>
      <x:c r="E13" s="30" t="str">
        <x:v>DISCLOSED</x:v>
      </x:c>
      <x:c r="F13" s="30" t="n">
        <x:v>1</x:v>
      </x:c>
      <x:c r="G13" s="30" t="n">
        <x:v>1</x:v>
      </x:c>
      <x:c r="H13" s="30" t="str"/>
      <x:c r="I13" s="30" t="str">
        <x:v>确认PE/VC标记</x:v>
      </x:c>
      <x:c r="J13" s="48" t="n">
        <x:v>1</x:v>
      </x:c>
    </x:row>
    <x:row r="14">
      <x:c r="A14" s="30" t="n">
        <x:v>10</x:v>
      </x:c>
      <x:c r="B14" s="30" t="str">
        <x:v>2022-12</x:v>
      </x:c>
      <x:c r="C14" s="30" t="str">
        <x:v>EVT-688726-0018</x:v>
      </x:c>
      <x:c r="D14" s="48" t="n">
        <x:v>67900</x:v>
      </x:c>
      <x:c r="E14" s="30" t="str">
        <x:v>CALCULATED</x:v>
      </x:c>
      <x:c r="F14" s="30" t="n">
        <x:v>17</x:v>
      </x:c>
      <x:c r="G14" s="30" t="n">
        <x:v>4</x:v>
      </x:c>
      <x:c r="H14" s="30" t="str"/>
      <x:c r="I14" s="30" t="str">
        <x:v>确认PE/VC数</x:v>
      </x:c>
      <x:c r="J14" s="48" t="n">
        <x:v>29</x:v>
      </x:c>
    </x:row>
    <x:row r="15">
      <x:c r="A15" s="31" t="n">
        <x:v>11</x:v>
      </x:c>
      <x:c r="B15" s="31" t="str">
        <x:v>2022-12</x:v>
      </x:c>
      <x:c r="C15" s="31" t="str">
        <x:v>EVT-688726-0020</x:v>
      </x:c>
      <x:c r="D15" s="49" t="n">
        <x:v>3987</x:v>
      </x:c>
      <x:c r="E15" s="31" t="str">
        <x:v>DISCLOSED</x:v>
      </x:c>
      <x:c r="F15" s="31" t="n">
        <x:v>1</x:v>
      </x:c>
      <x:c r="G15" s="31" t="n">
        <x:v>0</x:v>
      </x:c>
      <x:c r="H15" s="31" t="str">
        <x:v>同月独立事件</x:v>
      </x:c>
      <x:c r="I15" s="30" t="str">
        <x:v>PE/VC占直接主体</x:v>
      </x:c>
      <x:c r="J15" s="48" t="n">
        <x:f>J14/J22</x:f>
        <x:v>0.37662337662337664</x:v>
      </x:c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30" t="str">
        <x:v>PE/VC融资轮数</x:v>
      </x:c>
      <x:c r="J16" s="48" t="n">
        <x:v>6</x:v>
      </x:c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30" t="str">
        <x:v>首次PE/VC进入</x:v>
      </x:c>
      <x:c r="J17" s="48" t="str">
        <x:v>2020-10</x:v>
      </x:c>
    </x:row>
    <x:row r="18">
      <x:c r="A18" s="78"/>
      <x:c r="B18" s="78"/>
      <x:c r="C18" s="78"/>
      <x:c r="D18" s="78"/>
      <x:c r="E18" s="78"/>
      <x:c r="F18" s="78"/>
      <x:c r="G18" s="78"/>
      <x:c r="H18" s="78"/>
      <x:c r="I18" s="30" t="str">
        <x:v>首次进入年份</x:v>
      </x:c>
      <x:c r="J18" s="48" t="n">
        <x:v>2020</x:v>
      </x:c>
    </x:row>
    <x:row r="19">
      <x:c r="A19" s="78"/>
      <x:c r="B19" s="78"/>
      <x:c r="C19" s="78"/>
      <x:c r="D19" s="78"/>
      <x:c r="E19" s="78"/>
      <x:c r="F19" s="78"/>
      <x:c r="G19" s="78"/>
      <x:c r="H19" s="78"/>
      <x:c r="I19" s="30" t="str">
        <x:v>首次PE/VC轮位置</x:v>
      </x:c>
      <x:c r="J19" s="48" t="n">
        <x:f>2/J5</x:f>
        <x:v>0.18181818181818182</x:v>
      </x:c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30" t="str">
        <x:v>间接路径</x:v>
      </x:c>
      <x:c r="J20" s="48" t="n">
        <x:v>0</x:v>
      </x:c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30" t="str">
        <x:v>PE/VC进入方式</x:v>
      </x:c>
      <x:c r="J21" s="48" t="n">
        <x:v>2</x:v>
      </x:c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30" t="str">
        <x:v>直接主体数</x:v>
      </x:c>
      <x:c r="J22" s="48" t="n">
        <x:v>77</x:v>
      </x:c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30" t="str">
        <x:v>融资投资人数</x:v>
      </x:c>
      <x:c r="J23" s="48" t="n">
        <x:v>55</x:v>
      </x:c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30" t="str">
        <x:v>每轮投资方密度</x:v>
      </x:c>
      <x:c r="J24" s="48" t="n">
        <x:f>J23/J5</x:f>
        <x:v>5</x:v>
      </x:c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30" t="str">
        <x:v>融资方式数</x:v>
      </x:c>
      <x:c r="J25" s="48" t="n">
        <x:v>1</x:v>
      </x:c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30" t="str">
        <x:v>转让交易数</x:v>
      </x:c>
      <x:c r="J26" s="48" t="n">
        <x:v>32</x:v>
      </x:c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30" t="str">
        <x:v>转让对价下限</x:v>
      </x:c>
      <x:c r="J27" s="48" t="n">
        <x:v>44483.3918</x:v>
      </x:c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30" t="str">
        <x:v>转让/融资比</x:v>
      </x:c>
      <x:c r="J28" s="48" t="n">
        <x:f>J27/J6</x:f>
        <x:v>0.26566431368182886</x:v>
      </x:c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30" t="str">
        <x:v>金额已知轮数</x:v>
      </x:c>
      <x:c r="J29" s="48" t="n">
        <x:f>COUNT(D5:D15)</x:f>
        <x:v>11</x:v>
      </x:c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30" t="str">
        <x:v>金额覆盖率</x:v>
      </x:c>
      <x:c r="J30" s="48" t="n">
        <x:f>J29/J5</x:f>
        <x:v>1</x:v>
      </x:c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30" t="str">
        <x:v>日期覆盖率</x:v>
      </x:c>
      <x:c r="J31" s="48" t="n">
        <x:v>1</x:v>
      </x:c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30" t="str">
        <x:v>计算型金额占比</x:v>
      </x:c>
      <x:c r="J32" s="48" t="n">
        <x:f>COUNTIF(E5:E15,"CALCULATED")/J29</x:f>
        <x:v>0.6363636363636364</x:v>
      </x:c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30" t="str">
        <x:v>证据/轮</x:v>
      </x:c>
      <x:c r="J33" s="48" t="n">
        <x:v>1</x:v>
      </x:c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31" t="str">
        <x:v>披露限制标记</x:v>
      </x:c>
      <x:c r="J34" s="49" t="n">
        <x:v>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8" hidden="0" customWidth="1"/>
    <x:col min="5" max="5" width="18" hidden="0" customWidth="1"/>
    <x:col min="6" max="6" width="24" hidden="0" customWidth="1"/>
    <x:col min="7" max="7" width="44" hidden="0" customWidth="1"/>
    <x:col min="8" max="8" width="54" hidden="0" customWidth="1"/>
    <x:col min="9" max="9" width="40" hidden="0" customWidth="1"/>
    <x:col min="10" max="10" width="14" hidden="0" customWidth="1"/>
  </x:cols>
  <x:sheetData>
    <x:row r="1" ht="30" customHeight="1">
      <x:c r="A1" s="3" t="str">
        <x:v>拉普拉斯32个研究变量结果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D列全部为公式；31个变量标记VALID_WITH_LIMITATION，防止把观察窗数据误解为完整生命周期。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</x:row>
    <x:row r="4" ht="30" customHeight="1">
      <x:c r="A4" s="19" t="str">
        <x:v>变量ID</x:v>
      </x:c>
      <x:c r="B4" s="20" t="str">
        <x:v>中文名称</x:v>
      </x:c>
      <x:c r="C4" s="20" t="str">
        <x:v>构念</x:v>
      </x:c>
      <x:c r="D4" s="20" t="str">
        <x:v>公式结果</x:v>
      </x:c>
      <x:c r="E4" s="20" t="str">
        <x:v>单位</x:v>
      </x:c>
      <x:c r="F4" s="20" t="str">
        <x:v>可用状态</x:v>
      </x:c>
      <x:c r="G4" s="20" t="str">
        <x:v>计算逻辑</x:v>
      </x:c>
      <x:c r="H4" s="20" t="str">
        <x:v>警告</x:v>
      </x:c>
      <x:c r="I4" s="20" t="str">
        <x:v>证据边界</x:v>
      </x:c>
      <x:c r="J4" s="21" t="str">
        <x:v>优先级</x:v>
      </x:c>
    </x:row>
    <x:row r="5">
      <x:c r="A5" s="29" t="str">
        <x:v>CV001</x:v>
      </x:c>
      <x:c r="B5" s="29" t="str">
        <x:v>上市前直接股权融资发生标记</x:v>
      </x:c>
      <x:c r="C5" s="29" t="str">
        <x:v>融资经历</x:v>
      </x:c>
      <x:c r="D5" s="29" t="n">
        <x:f>IF('计算输入'!J5&gt;0,1,0)</x:f>
        <x:v>1</x:v>
      </x:c>
      <x:c r="E5" s="29" t="str">
        <x:v>0/1</x:v>
      </x:c>
      <x:c r="F5" s="54" t="str">
        <x:v>VALID_WITH_LIMITATION</x:v>
      </x:c>
      <x:c r="G5" s="29" t="str">
        <x:v>IF(CV002&gt;0,1,0)</x:v>
      </x:c>
      <x:c r="H5" s="29" t="str">
        <x:v>观察窗始于2020年；2016年设立至报告期初的股本变化未逐笔披露，按可核验下限解释。</x:v>
      </x:c>
      <x:c r="I5" s="29" t="str">
        <x:v>申报稿正文第33—40、119—120页；正式版上交所链接交叉核验</x:v>
      </x:c>
      <x:c r="J5" s="29" t="str">
        <x:v>A核心</x:v>
      </x:c>
    </x:row>
    <x:row r="6">
      <x:c r="A6" s="30" t="str">
        <x:v>CV002</x:v>
      </x:c>
      <x:c r="B6" s="30" t="str">
        <x:v>上市前直接股权融资轮数</x:v>
      </x:c>
      <x:c r="C6" s="30" t="str">
        <x:v>融资频度</x:v>
      </x:c>
      <x:c r="D6" s="30" t="n">
        <x:f>'计算输入'!J5</x:f>
        <x:v>11</x:v>
      </x:c>
      <x:c r="E6" s="30" t="str">
        <x:v>轮</x:v>
      </x:c>
      <x:c r="F6" s="55" t="str">
        <x:v>VALID_WITH_LIMITATION</x:v>
      </x:c>
      <x:c r="G6" s="30" t="str">
        <x:v>COUNT(2020—2022可核验financing_round_flag=TRUE)</x:v>
      </x:c>
      <x:c r="H6" s="30" t="str">
        <x:v>观察窗始于2020年；2016年设立至报告期初的股本变化未逐笔披露，按可核验下限解释。</x:v>
      </x:c>
      <x:c r="I6" s="30" t="str">
        <x:v>申报稿正文第33—40、119—120页；正式版上交所链接交叉核验</x:v>
      </x:c>
      <x:c r="J6" s="30" t="str">
        <x:v>A核心</x:v>
      </x:c>
    </x:row>
    <x:row r="7">
      <x:c r="A7" s="30" t="str">
        <x:v>CV003</x:v>
      </x:c>
      <x:c r="B7" s="30" t="str">
        <x:v>可核验融资金额下限</x:v>
      </x:c>
      <x:c r="C7" s="30" t="str">
        <x:v>融资规模</x:v>
      </x:c>
      <x:c r="D7" s="30" t="n">
        <x:f>'计算输入'!J6</x:f>
        <x:v>167442.1046</x:v>
      </x:c>
      <x:c r="E7" s="30" t="str">
        <x:v>万元人民币</x:v>
      </x:c>
      <x:c r="F7" s="55" t="str">
        <x:v>VALID_WITH_LIMITATION</x:v>
      </x:c>
      <x:c r="G7" s="30" t="str">
        <x:v>SUM(11轮可核验融资金额)</x:v>
      </x:c>
      <x:c r="H7" s="30" t="str">
        <x:v>观察窗始于2020年；2016年设立至报告期初的股本变化未逐笔披露，按可核验下限解释。</x:v>
      </x:c>
      <x:c r="I7" s="30" t="str">
        <x:v>申报稿正文第33—40、119—120页；正式版上交所链接交叉核验</x:v>
      </x:c>
      <x:c r="J7" s="30" t="str">
        <x:v>A核心</x:v>
      </x:c>
    </x:row>
    <x:row r="8">
      <x:c r="A8" s="30" t="str">
        <x:v>CV004</x:v>
      </x:c>
      <x:c r="B8" s="30" t="str">
        <x:v>融资金额下限对数</x:v>
      </x:c>
      <x:c r="C8" s="30" t="str">
        <x:v>融资规模</x:v>
      </x:c>
      <x:c r="D8" s="30" t="n">
        <x:f>LN(1+D7)</x:f>
        <x:v>12.028398898515118</x:v>
      </x:c>
      <x:c r="E8" s="30" t="str">
        <x:v>ln(1+万元)</x:v>
      </x:c>
      <x:c r="F8" s="55" t="str">
        <x:v>VALID_WITH_LIMITATION</x:v>
      </x:c>
      <x:c r="G8" s="30" t="str">
        <x:v>LN(1+CV003)</x:v>
      </x:c>
      <x:c r="H8" s="30" t="str">
        <x:v>观察窗始于2020年；2016年设立至报告期初的股本变化未逐笔披露，按可核验下限解释。</x:v>
      </x:c>
      <x:c r="I8" s="30" t="str">
        <x:v>申报稿正文第33—40、119—120页；正式版上交所链接交叉核验</x:v>
      </x:c>
      <x:c r="J8" s="30" t="str">
        <x:v>B扩展</x:v>
      </x:c>
    </x:row>
    <x:row r="9">
      <x:c r="A9" s="30" t="str">
        <x:v>CV005</x:v>
      </x:c>
      <x:c r="B9" s="30" t="str">
        <x:v>已知金额轮次均值</x:v>
      </x:c>
      <x:c r="C9" s="30" t="str">
        <x:v>单轮融资规模</x:v>
      </x:c>
      <x:c r="D9" s="30" t="n">
        <x:f>'计算输入'!J7</x:f>
        <x:v>15222.009509090909</x:v>
      </x:c>
      <x:c r="E9" s="30" t="str">
        <x:v>万元人民币/已知轮</x:v>
      </x:c>
      <x:c r="F9" s="55" t="str">
        <x:v>VALID_WITH_LIMITATION</x:v>
      </x:c>
      <x:c r="G9" s="30" t="str">
        <x:v>CV003/CV027</x:v>
      </x:c>
      <x:c r="H9" s="30" t="str">
        <x:v>观察窗始于2020年；2016年设立至报告期初的股本变化未逐笔披露，按可核验下限解释。</x:v>
      </x:c>
      <x:c r="I9" s="30" t="str">
        <x:v>申报稿正文第33—40、119—120页；正式版上交所链接交叉核验</x:v>
      </x:c>
      <x:c r="J9" s="30" t="str">
        <x:v>A核心</x:v>
      </x:c>
    </x:row>
    <x:row r="10">
      <x:c r="A10" s="30" t="str">
        <x:v>CV006</x:v>
      </x:c>
      <x:c r="B10" s="30" t="str">
        <x:v>已知金额轮次中位数</x:v>
      </x:c>
      <x:c r="C10" s="30" t="str">
        <x:v>单轮融资规模</x:v>
      </x:c>
      <x:c r="D10" s="30" t="n">
        <x:f>'计算输入'!J8</x:f>
        <x:v>9200</x:v>
      </x:c>
      <x:c r="E10" s="30" t="str">
        <x:v>万元人民币/已知轮</x:v>
      </x:c>
      <x:c r="F10" s="55" t="str">
        <x:v>VALID_WITH_LIMITATION</x:v>
      </x:c>
      <x:c r="G10" s="30" t="str">
        <x:v>MEDIAN(11轮可核验金额)</x:v>
      </x:c>
      <x:c r="H10" s="30" t="str">
        <x:v>观察窗始于2020年；2016年设立至报告期初的股本变化未逐笔披露，按可核验下限解释。</x:v>
      </x:c>
      <x:c r="I10" s="30" t="str">
        <x:v>申报稿正文第33—40、119—120页；正式版上交所链接交叉核验</x:v>
      </x:c>
      <x:c r="J10" s="30" t="str">
        <x:v>B扩展</x:v>
      </x:c>
    </x:row>
    <x:row r="11">
      <x:c r="A11" s="30" t="str">
        <x:v>CV007</x:v>
      </x:c>
      <x:c r="B11" s="30" t="str">
        <x:v>最大已知单轮融资金额</x:v>
      </x:c>
      <x:c r="C11" s="30" t="str">
        <x:v>融资峰值</x:v>
      </x:c>
      <x:c r="D11" s="30" t="n">
        <x:f>'计算输入'!J9</x:f>
        <x:v>67900</x:v>
      </x:c>
      <x:c r="E11" s="30" t="str">
        <x:v>万元人民币</x:v>
      </x:c>
      <x:c r="F11" s="55" t="str">
        <x:v>VALID_WITH_LIMITATION</x:v>
      </x:c>
      <x:c r="G11" s="30" t="str">
        <x:v>MAX(11轮可核验金额)</x:v>
      </x:c>
      <x:c r="H11" s="30" t="str">
        <x:v>观察窗始于2020年；2016年设立至报告期初的股本变化未逐笔披露，按可核验下限解释。</x:v>
      </x:c>
      <x:c r="I11" s="30" t="str">
        <x:v>申报稿正文第33—40、119—120页；正式版上交所链接交叉核验</x:v>
      </x:c>
      <x:c r="J11" s="30" t="str">
        <x:v>B扩展</x:v>
      </x:c>
    </x:row>
    <x:row r="12">
      <x:c r="A12" s="30" t="str">
        <x:v>CV008</x:v>
      </x:c>
      <x:c r="B12" s="30" t="str">
        <x:v>最大已知轮金额占比</x:v>
      </x:c>
      <x:c r="C12" s="30" t="str">
        <x:v>融资集中度</x:v>
      </x:c>
      <x:c r="D12" s="30" t="n">
        <x:f>'计算输入'!J10</x:f>
        <x:v>0.4055132976392367</x:v>
      </x:c>
      <x:c r="E12" s="30" t="str">
        <x:v>0–1</x:v>
      </x:c>
      <x:c r="F12" s="55" t="str">
        <x:v>VALID_WITH_LIMITATION</x:v>
      </x:c>
      <x:c r="G12" s="30" t="str">
        <x:v>CV007/CV003</x:v>
      </x:c>
      <x:c r="H12" s="30" t="str">
        <x:v>观察窗始于2020年；2016年设立至报告期初的股本变化未逐笔披露，按可核验下限解释。</x:v>
      </x:c>
      <x:c r="I12" s="30" t="str">
        <x:v>申报稿正文第33—40、119—120页；正式版上交所链接交叉核验</x:v>
      </x:c>
      <x:c r="J12" s="30" t="str">
        <x:v>B扩展</x:v>
      </x:c>
    </x:row>
    <x:row r="13">
      <x:c r="A13" s="30" t="str">
        <x:v>CV009</x:v>
      </x:c>
      <x:c r="B13" s="30" t="str">
        <x:v>融资时间跨度</x:v>
      </x:c>
      <x:c r="C13" s="30" t="str">
        <x:v>融资节奏</x:v>
      </x:c>
      <x:c r="D13" s="30" t="n">
        <x:f>'计算输入'!J11</x:f>
        <x:v>32</x:v>
      </x:c>
      <x:c r="E13" s="30" t="str">
        <x:v>月</x:v>
      </x:c>
      <x:c r="F13" s="55" t="str">
        <x:v>VALID_WITH_LIMITATION</x:v>
      </x:c>
      <x:c r="G13" s="30" t="str">
        <x:v>2022-12与2020-04月份差</x:v>
      </x:c>
      <x:c r="H13" s="30" t="str">
        <x:v>观察窗始于2020年；2016年设立至报告期初的股本变化未逐笔披露，按可核验下限解释。</x:v>
      </x:c>
      <x:c r="I13" s="30" t="str">
        <x:v>申报稿正文第33—40、119—120页；正式版上交所链接交叉核验</x:v>
      </x:c>
      <x:c r="J13" s="30" t="str">
        <x:v>A核心</x:v>
      </x:c>
    </x:row>
    <x:row r="14">
      <x:c r="A14" s="30" t="str">
        <x:v>CV010</x:v>
      </x:c>
      <x:c r="B14" s="30" t="str">
        <x:v>融资轮次间隔中位数</x:v>
      </x:c>
      <x:c r="C14" s="30" t="str">
        <x:v>融资节奏</x:v>
      </x:c>
      <x:c r="D14" s="30" t="n">
        <x:f>'计算输入'!J12</x:f>
        <x:v>2.5</x:v>
      </x:c>
      <x:c r="E14" s="30" t="str">
        <x:v>月</x:v>
      </x:c>
      <x:c r="F14" s="55" t="str">
        <x:v>VALID_WITH_LIMITATION</x:v>
      </x:c>
      <x:c r="G14" s="30" t="str">
        <x:v>MEDIAN(10个相邻轮次月份差)</x:v>
      </x:c>
      <x:c r="H14" s="30" t="str">
        <x:v>观察窗始于2020年；2016年设立至报告期初的股本变化未逐笔披露，按可核验下限解释。</x:v>
      </x:c>
      <x:c r="I14" s="30" t="str">
        <x:v>申报稿正文第33—40、119—120页；正式版上交所链接交叉核验</x:v>
      </x:c>
      <x:c r="J14" s="30" t="str">
        <x:v>B扩展</x:v>
      </x:c>
    </x:row>
    <x:row r="15">
      <x:c r="A15" s="30" t="str">
        <x:v>CV011</x:v>
      </x:c>
      <x:c r="B15" s="30" t="str">
        <x:v>确认PE/VC参与标记</x:v>
      </x:c>
      <x:c r="C15" s="30" t="str">
        <x:v>PEVC参与</x:v>
      </x:c>
      <x:c r="D15" s="30" t="n">
        <x:f>'计算输入'!J13</x:f>
        <x:v>1</x:v>
      </x:c>
      <x:c r="E15" s="30" t="str">
        <x:v>0/1</x:v>
      </x:c>
      <x:c r="F15" s="55" t="str">
        <x:v>VALID_WITH_LIMITATION</x:v>
      </x:c>
      <x:c r="G15" s="30" t="str">
        <x:v>IF(CV012&gt;0,1,0)</x:v>
      </x:c>
      <x:c r="H15" s="30" t="str">
        <x:v>观察窗始于2020年；2016年设立至报告期初的股本变化未逐笔披露，按可核验下限解释。</x:v>
      </x:c>
      <x:c r="I15" s="30" t="str">
        <x:v>申报稿正文第33—40、119—120页；正式版上交所链接交叉核验</x:v>
      </x:c>
      <x:c r="J15" s="30" t="str">
        <x:v>A核心</x:v>
      </x:c>
    </x:row>
    <x:row r="16">
      <x:c r="A16" s="30" t="str">
        <x:v>CV012</x:v>
      </x:c>
      <x:c r="B16" s="30" t="str">
        <x:v>确认PE/VC法律主体数</x:v>
      </x:c>
      <x:c r="C16" s="30" t="str">
        <x:v>PEVC参与</x:v>
      </x:c>
      <x:c r="D16" s="30" t="n">
        <x:f>'计算输入'!J14</x:f>
        <x:v>29</x:v>
      </x:c>
      <x:c r="E16" s="30" t="str">
        <x:v>个</x:v>
      </x:c>
      <x:c r="F16" s="55" t="str">
        <x:v>VALID_WITH_LIMITATION</x:v>
      </x:c>
      <x:c r="G16" s="30" t="str">
        <x:v>COUNT(招股书备案私募基金清单与参与主体交集)</x:v>
      </x:c>
      <x:c r="H16" s="30" t="str">
        <x:v>观察窗始于2020年；2016年设立至报告期初的股本变化未逐笔披露，按可核验下限解释。</x:v>
      </x:c>
      <x:c r="I16" s="30" t="str">
        <x:v>申报稿正文第33—40、119—120页；正式版上交所链接交叉核验</x:v>
      </x:c>
      <x:c r="J16" s="30" t="str">
        <x:v>A核心</x:v>
      </x:c>
    </x:row>
    <x:row r="17">
      <x:c r="A17" s="30" t="str">
        <x:v>CV013</x:v>
      </x:c>
      <x:c r="B17" s="30" t="str">
        <x:v>确认PE/VC占直接主体比重</x:v>
      </x:c>
      <x:c r="C17" s="30" t="str">
        <x:v>PEVC参与</x:v>
      </x:c>
      <x:c r="D17" s="30" t="n">
        <x:f>'计算输入'!J15</x:f>
        <x:v>0.37662337662337664</x:v>
      </x:c>
      <x:c r="E17" s="30" t="str">
        <x:v>0–1</x:v>
      </x:c>
      <x:c r="F17" s="55" t="str">
        <x:v>VALID_WITH_LIMITATION</x:v>
      </x:c>
      <x:c r="G17" s="30" t="str">
        <x:v>CV012/CV020</x:v>
      </x:c>
      <x:c r="H17" s="30" t="str">
        <x:v>观察窗始于2020年；2016年设立至报告期初的股本变化未逐笔披露，按可核验下限解释。</x:v>
      </x:c>
      <x:c r="I17" s="30" t="str">
        <x:v>申报稿正文第33—40、119—120页；正式版上交所链接交叉核验</x:v>
      </x:c>
      <x:c r="J17" s="30" t="str">
        <x:v>B扩展</x:v>
      </x:c>
    </x:row>
    <x:row r="18">
      <x:c r="A18" s="30" t="str">
        <x:v>CV014</x:v>
      </x:c>
      <x:c r="B18" s="30" t="str">
        <x:v>确认PE/VC参与融资轮数</x:v>
      </x:c>
      <x:c r="C18" s="30" t="str">
        <x:v>PEVC参与深度</x:v>
      </x:c>
      <x:c r="D18" s="30" t="n">
        <x:f>'计算输入'!J16</x:f>
        <x:v>6</x:v>
      </x:c>
      <x:c r="E18" s="30" t="str">
        <x:v>轮</x:v>
      </x:c>
      <x:c r="F18" s="55" t="str">
        <x:v>VALID_WITH_LIMITATION</x:v>
      </x:c>
      <x:c r="G18" s="30" t="str">
        <x:v>COUNT(至少1名确认PE/VC参与的融资轮)</x:v>
      </x:c>
      <x:c r="H18" s="30" t="str">
        <x:v>观察窗始于2020年；2016年设立至报告期初的股本变化未逐笔披露，按可核验下限解释。</x:v>
      </x:c>
      <x:c r="I18" s="30" t="str">
        <x:v>申报稿正文第33—40、119—120页；正式版上交所链接交叉核验</x:v>
      </x:c>
      <x:c r="J18" s="30" t="str">
        <x:v>B扩展</x:v>
      </x:c>
    </x:row>
    <x:row r="19">
      <x:c r="A19" s="30" t="str">
        <x:v>CV015</x:v>
      </x:c>
      <x:c r="B19" s="30" t="str">
        <x:v>首次确认PE/VC进入日期</x:v>
      </x:c>
      <x:c r="C19" s="30" t="str">
        <x:v>PEVC进入时点</x:v>
      </x:c>
      <x:c r="D19" s="30" t="str">
        <x:f>'计算输入'!J17</x:f>
        <x:v>2020-10</x:v>
      </x:c>
      <x:c r="E19" s="30" t="str">
        <x:v>日期或年月</x:v>
      </x:c>
      <x:c r="F19" s="55" t="str">
        <x:v>VALID_WITH_LIMITATION</x:v>
      </x:c>
      <x:c r="G19" s="30" t="str">
        <x:v>确认PE/VC最早可核验进入月份（如东睿达老股受让）</x:v>
      </x:c>
      <x:c r="H19" s="30" t="str">
        <x:v>观察窗始于2020年；2016年设立至报告期初的股本变化未逐笔披露，按可核验下限解释。 首次进入仅指最早可核验时点。</x:v>
      </x:c>
      <x:c r="I19" s="30" t="str">
        <x:v>申报稿正文第33—40、119—120页；正式版上交所链接交叉核验</x:v>
      </x:c>
      <x:c r="J19" s="30" t="str">
        <x:v>A核心</x:v>
      </x:c>
    </x:row>
    <x:row r="20">
      <x:c r="A20" s="30" t="str">
        <x:v>CV016</x:v>
      </x:c>
      <x:c r="B20" s="30" t="str">
        <x:v>首次确认PE/VC进入年份</x:v>
      </x:c>
      <x:c r="C20" s="30" t="str">
        <x:v>PEVC进入时点</x:v>
      </x:c>
      <x:c r="D20" s="30" t="n">
        <x:f>'计算输入'!J18</x:f>
        <x:v>2020</x:v>
      </x:c>
      <x:c r="E20" s="30" t="str">
        <x:v>年</x:v>
      </x:c>
      <x:c r="F20" s="55" t="str">
        <x:v>VALID_WITH_LIMITATION</x:v>
      </x:c>
      <x:c r="G20" s="30" t="str">
        <x:v>YEAR(CV015)</x:v>
      </x:c>
      <x:c r="H20" s="30" t="str">
        <x:v>观察窗始于2020年；2016年设立至报告期初的股本变化未逐笔披露，按可核验下限解释。</x:v>
      </x:c>
      <x:c r="I20" s="30" t="str">
        <x:v>申报稿正文第33—40、119—120页；正式版上交所链接交叉核验</x:v>
      </x:c>
      <x:c r="J20" s="30" t="str">
        <x:v>B扩展</x:v>
      </x:c>
    </x:row>
    <x:row r="21">
      <x:c r="A21" s="30" t="str">
        <x:v>CV017</x:v>
      </x:c>
      <x:c r="B21" s="30" t="str">
        <x:v>首次确认PE/VC融资轮位置</x:v>
      </x:c>
      <x:c r="C21" s="30" t="str">
        <x:v>PEVC进入时点</x:v>
      </x:c>
      <x:c r="D21" s="30" t="n">
        <x:f>'计算输入'!J19</x:f>
        <x:v>0.18181818181818182</x:v>
      </x:c>
      <x:c r="E21" s="30" t="str">
        <x:v>0–1</x:v>
      </x:c>
      <x:c r="F21" s="55" t="str">
        <x:v>VALID_WITH_LIMITATION</x:v>
      </x:c>
      <x:c r="G21" s="30" t="str">
        <x:v>首次确认PE/VC融资轮序位2/11</x:v>
      </x:c>
      <x:c r="H21" s="30" t="str">
        <x:v>观察窗始于2020年；2016年设立至报告期初的股本变化未逐笔披露，按可核验下限解释。 相对轮次位置以11轮可见融资为分母。</x:v>
      </x:c>
      <x:c r="I21" s="30" t="str">
        <x:v>申报稿正文第33—40、119—120页；正式版上交所链接交叉核验</x:v>
      </x:c>
      <x:c r="J21" s="30" t="str">
        <x:v>B扩展</x:v>
      </x:c>
    </x:row>
    <x:row r="22">
      <x:c r="A22" s="30" t="str">
        <x:v>CV018</x:v>
      </x:c>
      <x:c r="B22" s="30" t="str">
        <x:v>确认PE/VC间接路径标记</x:v>
      </x:c>
      <x:c r="C22" s="30" t="str">
        <x:v>投资路径复杂度</x:v>
      </x:c>
      <x:c r="D22" s="30" t="n">
        <x:f>'计算输入'!J20</x:f>
        <x:v>0</x:v>
      </x:c>
      <x:c r="E22" s="30" t="str">
        <x:v>0/1</x:v>
      </x:c>
      <x:c r="F22" s="55" t="str">
        <x:v>VALID_WITH_LIMITATION</x:v>
      </x:c>
      <x:c r="G22" s="30" t="str">
        <x:v>确认路径均为DIRECT</x:v>
      </x:c>
      <x:c r="H22" s="30" t="str">
        <x:v>观察窗始于2020年；2016年设立至报告期初的股本变化未逐笔披露，按可核验下限解释。</x:v>
      </x:c>
      <x:c r="I22" s="30" t="str">
        <x:v>申报稿正文第33—40、119—120页；正式版上交所链接交叉核验</x:v>
      </x:c>
      <x:c r="J22" s="30" t="str">
        <x:v>B扩展</x:v>
      </x:c>
    </x:row>
    <x:row r="23">
      <x:c r="A23" s="30" t="str">
        <x:v>CV019</x:v>
      </x:c>
      <x:c r="B23" s="30" t="str">
        <x:v>确认PE/VC进入方式多样性</x:v>
      </x:c>
      <x:c r="C23" s="30" t="str">
        <x:v>PEVC进入方式</x:v>
      </x:c>
      <x:c r="D23" s="30" t="n">
        <x:f>'计算输入'!J21</x:f>
        <x:v>2</x:v>
      </x:c>
      <x:c r="E23" s="30" t="str">
        <x:v>种</x:v>
      </x:c>
      <x:c r="F23" s="55" t="str">
        <x:v>VALID_WITH_LIMITATION</x:v>
      </x:c>
      <x:c r="G23" s="30" t="str">
        <x:v>COUNT(DISTINCT TRANSFER_ENTRY,CAPITAL_INCREASE_ENTRY)</x:v>
      </x:c>
      <x:c r="H23" s="30" t="str">
        <x:v>观察窗始于2020年；2016年设立至报告期初的股本变化未逐笔披露，按可核验下限解释。</x:v>
      </x:c>
      <x:c r="I23" s="30" t="str">
        <x:v>申报稿正文第33—40、119—120页；正式版上交所链接交叉核验</x:v>
      </x:c>
      <x:c r="J23" s="30" t="str">
        <x:v>B扩展</x:v>
      </x:c>
    </x:row>
    <x:row r="24">
      <x:c r="A24" s="30" t="str">
        <x:v>CV020</x:v>
      </x:c>
      <x:c r="B24" s="30" t="str">
        <x:v>直接参与法律主体数</x:v>
      </x:c>
      <x:c r="C24" s="30" t="str">
        <x:v>参与结构规模</x:v>
      </x:c>
      <x:c r="D24" s="30" t="n">
        <x:f>'计算输入'!J22</x:f>
        <x:v>77</x:v>
      </x:c>
      <x:c r="E24" s="30" t="str">
        <x:v>个</x:v>
      </x:c>
      <x:c r="F24" s="55" t="str">
        <x:v>VALID_WITH_LIMITATION</x:v>
      </x:c>
      <x:c r="G24" s="30" t="str">
        <x:v>可核验交易与设立参与主体去重数</x:v>
      </x:c>
      <x:c r="H24" s="30" t="str">
        <x:v>观察窗始于2020年；2016年设立至报告期初的股本变化未逐笔披露，按可核验下限解释。</x:v>
      </x:c>
      <x:c r="I24" s="30" t="str">
        <x:v>申报稿正文第33—40、119—120页；正式版上交所链接交叉核验</x:v>
      </x:c>
      <x:c r="J24" s="30" t="str">
        <x:v>A核心</x:v>
      </x:c>
    </x:row>
    <x:row r="25">
      <x:c r="A25" s="30" t="str">
        <x:v>CV021</x:v>
      </x:c>
      <x:c r="B25" s="30" t="str">
        <x:v>融资投资方法律主体数</x:v>
      </x:c>
      <x:c r="C25" s="30" t="str">
        <x:v>融资参与广度</x:v>
      </x:c>
      <x:c r="D25" s="30" t="n">
        <x:f>'计算输入'!J23</x:f>
        <x:v>55</x:v>
      </x:c>
      <x:c r="E25" s="30" t="str">
        <x:v>个</x:v>
      </x:c>
      <x:c r="F25" s="55" t="str">
        <x:v>VALID_WITH_LIMITATION</x:v>
      </x:c>
      <x:c r="G25" s="30" t="str">
        <x:v>11轮融资INVESTOR主体去重数</x:v>
      </x:c>
      <x:c r="H25" s="30" t="str">
        <x:v>观察窗始于2020年；2016年设立至报告期初的股本变化未逐笔披露，按可核验下限解释。</x:v>
      </x:c>
      <x:c r="I25" s="30" t="str">
        <x:v>申报稿正文第33—40、119—120页；正式版上交所链接交叉核验</x:v>
      </x:c>
      <x:c r="J25" s="30" t="str">
        <x:v>B扩展</x:v>
      </x:c>
    </x:row>
    <x:row r="26">
      <x:c r="A26" s="30" t="str">
        <x:v>CV022</x:v>
      </x:c>
      <x:c r="B26" s="30" t="str">
        <x:v>每轮融资投资方密度</x:v>
      </x:c>
      <x:c r="C26" s="30" t="str">
        <x:v>融资参与密度</x:v>
      </x:c>
      <x:c r="D26" s="30" t="n">
        <x:f>'计算输入'!J24</x:f>
        <x:v>5</x:v>
      </x:c>
      <x:c r="E26" s="30" t="str">
        <x:v>个/轮</x:v>
      </x:c>
      <x:c r="F26" s="55" t="str">
        <x:v>VALID_WITH_LIMITATION</x:v>
      </x:c>
      <x:c r="G26" s="30" t="str">
        <x:v>CV021/CV002</x:v>
      </x:c>
      <x:c r="H26" s="30" t="str">
        <x:v>观察窗始于2020年；2016年设立至报告期初的股本变化未逐笔披露，按可核验下限解释。</x:v>
      </x:c>
      <x:c r="I26" s="30" t="str">
        <x:v>申报稿正文第33—40、119—120页；正式版上交所链接交叉核验</x:v>
      </x:c>
      <x:c r="J26" s="30" t="str">
        <x:v>B扩展</x:v>
      </x:c>
    </x:row>
    <x:row r="27">
      <x:c r="A27" s="30" t="str">
        <x:v>CV023</x:v>
      </x:c>
      <x:c r="B27" s="30" t="str">
        <x:v>融资方式多样性</x:v>
      </x:c>
      <x:c r="C27" s="30" t="str">
        <x:v>融资机制</x:v>
      </x:c>
      <x:c r="D27" s="30" t="n">
        <x:f>'计算输入'!J25</x:f>
        <x:v>1</x:v>
      </x:c>
      <x:c r="E27" s="30" t="str">
        <x:v>种</x:v>
      </x:c>
      <x:c r="F27" s="55" t="str">
        <x:v>VALID_WITH_LIMITATION</x:v>
      </x:c>
      <x:c r="G27" s="30" t="str">
        <x:v>融资交易仅CAPITAL_INCREASE一类</x:v>
      </x:c>
      <x:c r="H27" s="30" t="str">
        <x:v>观察窗始于2020年；2016年设立至报告期初的股本变化未逐笔披露，按可核验下限解释。</x:v>
      </x:c>
      <x:c r="I27" s="30" t="str">
        <x:v>申报稿正文第33—40、119—120页；正式版上交所链接交叉核验</x:v>
      </x:c>
      <x:c r="J27" s="30" t="str">
        <x:v>B扩展</x:v>
      </x:c>
    </x:row>
    <x:row r="28">
      <x:c r="A28" s="30" t="str">
        <x:v>CV024</x:v>
      </x:c>
      <x:c r="B28" s="30" t="str">
        <x:v>股权转让交易数</x:v>
      </x:c>
      <x:c r="C28" s="30" t="str">
        <x:v>二级股权流动</x:v>
      </x:c>
      <x:c r="D28" s="30" t="n">
        <x:f>'计算输入'!J26</x:f>
        <x:v>32</x:v>
      </x:c>
      <x:c r="E28" s="30" t="str">
        <x:v>笔</x:v>
      </x:c>
      <x:c r="F28" s="55" t="str">
        <x:v>VALID_WITH_LIMITATION</x:v>
      </x:c>
      <x:c r="G28" s="30" t="str">
        <x:v>COUNT(EQUITY_TRANSFER transactions)</x:v>
      </x:c>
      <x:c r="H28" s="30" t="str">
        <x:v>观察窗始于2020年；2016年设立至报告期初的股本变化未逐笔披露，按可核验下限解释。</x:v>
      </x:c>
      <x:c r="I28" s="30" t="str">
        <x:v>申报稿正文第33—40、119—120页；正式版上交所链接交叉核验</x:v>
      </x:c>
      <x:c r="J28" s="30" t="str">
        <x:v>A核心</x:v>
      </x:c>
    </x:row>
    <x:row r="29">
      <x:c r="A29" s="30" t="str">
        <x:v>CV025</x:v>
      </x:c>
      <x:c r="B29" s="30" t="str">
        <x:v>可核验股权转让对价下限</x:v>
      </x:c>
      <x:c r="C29" s="30" t="str">
        <x:v>二级股权流动</x:v>
      </x:c>
      <x:c r="D29" s="30" t="n">
        <x:f>'计算输入'!J27</x:f>
        <x:v>44483.3918</x:v>
      </x:c>
      <x:c r="E29" s="30" t="str">
        <x:v>万元人民币</x:v>
      </x:c>
      <x:c r="F29" s="55" t="str">
        <x:v>VALID_WITH_LIMITATION</x:v>
      </x:c>
      <x:c r="G29" s="30" t="str">
        <x:v>SUM(32笔可核验转让对价)</x:v>
      </x:c>
      <x:c r="H29" s="30" t="str">
        <x:v>观察窗始于2020年；2016年设立至报告期初的股本变化未逐笔披露，按可核验下限解释。</x:v>
      </x:c>
      <x:c r="I29" s="30" t="str">
        <x:v>申报稿正文第33—40、119—120页；正式版上交所链接交叉核验</x:v>
      </x:c>
      <x:c r="J29" s="30" t="str">
        <x:v>A核心</x:v>
      </x:c>
    </x:row>
    <x:row r="30">
      <x:c r="A30" s="30" t="str">
        <x:v>CV026</x:v>
      </x:c>
      <x:c r="B30" s="30" t="str">
        <x:v>转让对价与融资金额比</x:v>
      </x:c>
      <x:c r="C30" s="30" t="str">
        <x:v>二级股权流动</x:v>
      </x:c>
      <x:c r="D30" s="30" t="n">
        <x:f>'计算输入'!J28</x:f>
        <x:v>0.26566431368182886</x:v>
      </x:c>
      <x:c r="E30" s="30" t="str">
        <x:v>0–∞</x:v>
      </x:c>
      <x:c r="F30" s="55" t="str">
        <x:v>VALID_WITH_LIMITATION</x:v>
      </x:c>
      <x:c r="G30" s="30" t="str">
        <x:v>CV025/CV003</x:v>
      </x:c>
      <x:c r="H30" s="30" t="str">
        <x:v>观察窗始于2020年；2016年设立至报告期初的股本变化未逐笔披露，按可核验下限解释。</x:v>
      </x:c>
      <x:c r="I30" s="30" t="str">
        <x:v>申报稿正文第33—40、119—120页；正式版上交所链接交叉核验</x:v>
      </x:c>
      <x:c r="J30" s="30" t="str">
        <x:v>B扩展</x:v>
      </x:c>
    </x:row>
    <x:row r="31">
      <x:c r="A31" s="30" t="str">
        <x:v>CV027</x:v>
      </x:c>
      <x:c r="B31" s="30" t="str">
        <x:v>金额已知融资轮数</x:v>
      </x:c>
      <x:c r="C31" s="30" t="str">
        <x:v>数据可用性</x:v>
      </x:c>
      <x:c r="D31" s="30" t="n">
        <x:f>'计算输入'!J29</x:f>
        <x:v>11</x:v>
      </x:c>
      <x:c r="E31" s="30" t="str">
        <x:v>轮</x:v>
      </x:c>
      <x:c r="F31" s="55" t="str">
        <x:v>VALID_WITH_LIMITATION</x:v>
      </x:c>
      <x:c r="G31" s="30" t="str">
        <x:v>已知金额融资轮数</x:v>
      </x:c>
      <x:c r="H31" s="30" t="str">
        <x:v>观察窗始于2020年；2016年设立至报告期初的股本变化未逐笔披露，按可核验下限解释。</x:v>
      </x:c>
      <x:c r="I31" s="30" t="str">
        <x:v>申报稿正文第33—40、119—120页；正式版上交所链接交叉核验</x:v>
      </x:c>
      <x:c r="J31" s="30" t="str">
        <x:v>Q质量</x:v>
      </x:c>
    </x:row>
    <x:row r="32">
      <x:c r="A32" s="30" t="str">
        <x:v>CV028</x:v>
      </x:c>
      <x:c r="B32" s="30" t="str">
        <x:v>融资轮金额覆盖率</x:v>
      </x:c>
      <x:c r="C32" s="30" t="str">
        <x:v>数据可用性</x:v>
      </x:c>
      <x:c r="D32" s="30" t="n">
        <x:f>'计算输入'!J30</x:f>
        <x:v>1</x:v>
      </x:c>
      <x:c r="E32" s="30" t="str">
        <x:v>0–1</x:v>
      </x:c>
      <x:c r="F32" s="55" t="str">
        <x:v>VALID_WITH_LIMITATION</x:v>
      </x:c>
      <x:c r="G32" s="30" t="str">
        <x:v>CV027/CV002</x:v>
      </x:c>
      <x:c r="H32" s="30" t="str">
        <x:v>观察窗始于2020年；2016年设立至报告期初的股本变化未逐笔披露，按可核验下限解释。</x:v>
      </x:c>
      <x:c r="I32" s="30" t="str">
        <x:v>申报稿正文第33—40、119—120页；正式版上交所链接交叉核验</x:v>
      </x:c>
      <x:c r="J32" s="30" t="str">
        <x:v>Q质量</x:v>
      </x:c>
    </x:row>
    <x:row r="33">
      <x:c r="A33" s="30" t="str">
        <x:v>CV029</x:v>
      </x:c>
      <x:c r="B33" s="30" t="str">
        <x:v>融资轮日期覆盖率</x:v>
      </x:c>
      <x:c r="C33" s="30" t="str">
        <x:v>数据可用性</x:v>
      </x:c>
      <x:c r="D33" s="30" t="n">
        <x:f>'计算输入'!J31</x:f>
        <x:v>1</x:v>
      </x:c>
      <x:c r="E33" s="30" t="str">
        <x:v>0–1</x:v>
      </x:c>
      <x:c r="F33" s="55" t="str">
        <x:v>VALID_WITH_LIMITATION</x:v>
      </x:c>
      <x:c r="G33" s="30" t="str">
        <x:v>MONTH精度轮数/CV002</x:v>
      </x:c>
      <x:c r="H33" s="30" t="str">
        <x:v>观察窗始于2020年；2016年设立至报告期初的股本变化未逐笔披露，按可核验下限解释。</x:v>
      </x:c>
      <x:c r="I33" s="30" t="str">
        <x:v>申报稿正文第33—40、119—120页；正式版上交所链接交叉核验</x:v>
      </x:c>
      <x:c r="J33" s="30" t="str">
        <x:v>Q质量</x:v>
      </x:c>
    </x:row>
    <x:row r="34">
      <x:c r="A34" s="30" t="str">
        <x:v>CV030</x:v>
      </x:c>
      <x:c r="B34" s="30" t="str">
        <x:v>计算型轮次金额占比</x:v>
      </x:c>
      <x:c r="C34" s="30" t="str">
        <x:v>数值来源结构</x:v>
      </x:c>
      <x:c r="D34" s="30" t="n">
        <x:f>'计算输入'!J32</x:f>
        <x:v>0.6363636363636364</x:v>
      </x:c>
      <x:c r="E34" s="30" t="str">
        <x:v>0–1</x:v>
      </x:c>
      <x:c r="F34" s="55" t="str">
        <x:v>VALID_WITH_LIMITATION</x:v>
      </x:c>
      <x:c r="G34" s="30" t="str">
        <x:v>多投资人求和计算型金额轮数/CV027</x:v>
      </x:c>
      <x:c r="H34" s="30" t="str">
        <x:v>观察窗始于2020年；2016年设立至报告期初的股本变化未逐笔披露，按可核验下限解释。</x:v>
      </x:c>
      <x:c r="I34" s="30" t="str">
        <x:v>申报稿正文第33—40、119—120页；正式版上交所链接交叉核验</x:v>
      </x:c>
      <x:c r="J34" s="30" t="str">
        <x:v>Q质量</x:v>
      </x:c>
    </x:row>
    <x:row r="35">
      <x:c r="A35" s="30" t="str">
        <x:v>CV031</x:v>
      </x:c>
      <x:c r="B35" s="30" t="str">
        <x:v>每轮融资证据记录数</x:v>
      </x:c>
      <x:c r="C35" s="30" t="str">
        <x:v>证据密度</x:v>
      </x:c>
      <x:c r="D35" s="30" t="n">
        <x:f>'计算输入'!J33</x:f>
        <x:v>1</x:v>
      </x:c>
      <x:c r="E35" s="30" t="str">
        <x:v>条/轮</x:v>
      </x:c>
      <x:c r="F35" s="55" t="str">
        <x:v>VALID_WITH_LIMITATION</x:v>
      </x:c>
      <x:c r="G35" s="30" t="str">
        <x:v>融资轮直接关联证据11条/CV002</x:v>
      </x:c>
      <x:c r="H35" s="30" t="str">
        <x:v>证据记录密度不是披露质量评分；早期观察窗仍存在缺口。</x:v>
      </x:c>
      <x:c r="I35" s="30" t="str">
        <x:v>申报稿正文第33—40、119—120页；正式版上交所链接交叉核验</x:v>
      </x:c>
      <x:c r="J35" s="30" t="str">
        <x:v>Q质量</x:v>
      </x:c>
    </x:row>
    <x:row r="36">
      <x:c r="A36" s="31" t="str">
        <x:v>CV032</x:v>
      </x:c>
      <x:c r="B36" s="31" t="str">
        <x:v>公司级披露限制标记</x:v>
      </x:c>
      <x:c r="C36" s="31" t="str">
        <x:v>披露边界</x:v>
      </x:c>
      <x:c r="D36" s="31" t="n">
        <x:f>'计算输入'!J34</x:f>
        <x:v>1</x:v>
      </x:c>
      <x:c r="E36" s="31" t="str">
        <x:v>0/1</x:v>
      </x:c>
      <x:c r="F36" s="57" t="str">
        <x:v>VALID</x:v>
      </x:c>
      <x:c r="G36" s="31" t="str">
        <x:v>disclosure_limitation非空，因此为1</x:v>
      </x:c>
      <x:c r="H36" s="31" t="str">
        <x:v>1表示存在公司级披露限制。</x:v>
      </x:c>
      <x:c r="I36" s="31" t="str">
        <x:v>申报稿正文第33—40、119—120页；正式版上交所链接交叉核验</x:v>
      </x:c>
      <x:c r="J36" s="31" t="str">
        <x:v>Q质量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58" hidden="0" customWidth="1"/>
    <x:col min="5" max="5" width="18" hidden="0" customWidth="1"/>
    <x:col min="6" max="6" width="42" hidden="0" customWidth="1"/>
    <x:col min="7" max="7" width="16" hidden="0" customWidth="1"/>
  </x:cols>
  <x:sheetData>
    <x:row r="1" ht="30" customHeight="1">
      <x:c r="A1" s="3" t="str">
        <x:v>9张标准表复用性判断</x:v>
      </x:c>
      <x:c r="B1" s="3"/>
      <x:c r="C1" s="3"/>
      <x:c r="D1" s="3"/>
      <x:c r="E1" s="3"/>
      <x:c r="F1" s="3"/>
      <x:c r="G1" s="3"/>
    </x:row>
    <x:row r="2" ht="34" customHeight="1">
      <x:c r="A2" s="7" t="str">
        <x:v>结论分为结构能否承载、是否需要规则说明、是否强制修改Schema。</x:v>
      </x:c>
      <x:c r="B2" s="7"/>
      <x:c r="C2" s="7"/>
      <x:c r="D2" s="7"/>
      <x:c r="E2" s="7"/>
      <x:c r="F2" s="7"/>
      <x:c r="G2" s="7"/>
    </x:row>
    <x:row r="3">
      <x:c r="A3" s="78"/>
      <x:c r="B3" s="78"/>
      <x:c r="C3" s="78"/>
      <x:c r="D3" s="78"/>
      <x:c r="E3" s="78"/>
      <x:c r="F3" s="78"/>
      <x:c r="G3" s="78"/>
    </x:row>
    <x:row r="4" ht="30" customHeight="1">
      <x:c r="A4" s="19" t="str">
        <x:v>标准表</x:v>
      </x:c>
      <x:c r="B4" s="20" t="str">
        <x:v>复用结果</x:v>
      </x:c>
      <x:c r="C4" s="20" t="str">
        <x:v>记录数</x:v>
      </x:c>
      <x:c r="D4" s="20" t="str">
        <x:v>本次发现</x:v>
      </x:c>
      <x:c r="E4" s="20" t="str">
        <x:v>Schema变更</x:v>
      </x:c>
      <x:c r="F4" s="20" t="str">
        <x:v>建议</x:v>
      </x:c>
      <x:c r="G4" s="21" t="str">
        <x:v>结论</x:v>
      </x:c>
    </x:row>
    <x:row r="5">
      <x:c r="A5" s="29" t="str">
        <x:v>companies</x:v>
      </x:c>
      <x:c r="B5" s="29" t="str">
        <x:v>DIRECT_REUSE_WITH_LIMITATION</x:v>
      </x:c>
      <x:c r="C5" s="29" t="n">
        <x:v>1</x:v>
      </x:c>
      <x:c r="D5" s="29" t="str">
        <x:v>金额状态与disclosure_limitation可表达观察窗缺口。</x:v>
      </x:c>
      <x:c r="E5" s="44" t="str">
        <x:v>NO</x:v>
      </x:c>
      <x:c r="F5" s="29" t="str">
        <x:v>重复出现观察窗缺口时再考虑v1.1</x:v>
      </x:c>
      <x:c r="G5" s="29" t="str">
        <x:v>可复用</x:v>
      </x:c>
    </x:row>
    <x:row r="6">
      <x:c r="A6" s="30" t="str">
        <x:v>financing_events</x:v>
      </x:c>
      <x:c r="B6" s="30" t="str">
        <x:v>DIRECT_REUSE</x:v>
      </x:c>
      <x:c r="C6" s="30" t="n">
        <x:v>22</x:v>
      </x:c>
      <x:c r="D6" s="30" t="str">
        <x:v>11轮增资、同月多轮和整体变更均可表达。</x:v>
      </x:c>
      <x:c r="E6" s="45" t="str">
        <x:v>NO</x:v>
      </x:c>
      <x:c r="F6" s="30" t="str">
        <x:v>沿用v1.0</x:v>
      </x:c>
      <x:c r="G6" s="30" t="str">
        <x:v>可复用</x:v>
      </x:c>
    </x:row>
    <x:row r="7">
      <x:c r="A7" s="30" t="str">
        <x:v>transactions</x:v>
      </x:c>
      <x:c r="B7" s="30" t="str">
        <x:v>DIRECT_REUSE</x:v>
      </x:c>
      <x:c r="C7" s="30" t="n">
        <x:v>46</x:v>
      </x:c>
      <x:c r="D7" s="30" t="str">
        <x:v>复合事件可拆成转让与增资交易。</x:v>
      </x:c>
      <x:c r="E7" s="45" t="str">
        <x:v>NO</x:v>
      </x:c>
      <x:c r="F7" s="30" t="str">
        <x:v>沿用v1.0</x:v>
      </x:c>
      <x:c r="G7" s="30" t="str">
        <x:v>可复用</x:v>
      </x:c>
    </x:row>
    <x:row r="8">
      <x:c r="A8" s="30" t="str">
        <x:v>entities</x:v>
      </x:c>
      <x:c r="B8" s="30" t="str">
        <x:v>DIRECT_REUSE_WITH_RULE_NOTE</x:v>
      </x:c>
      <x:c r="C8" s="30" t="n">
        <x:v>78</x:v>
      </x:c>
      <x:c r="D8" s="30" t="str">
        <x:v>29名备案基金与非备案平台可用五级PE/VC状态区分。</x:v>
      </x:c>
      <x:c r="E8" s="45" t="str">
        <x:v>NO</x:v>
      </x:c>
      <x:c r="F8" s="30" t="str">
        <x:v>沿用v1.0</x:v>
      </x:c>
      <x:c r="G8" s="30" t="str">
        <x:v>可复用</x:v>
      </x:c>
    </x:row>
    <x:row r="9">
      <x:c r="A9" s="30" t="str">
        <x:v>transaction_parties</x:v>
      </x:c>
      <x:c r="B9" s="30" t="str">
        <x:v>DIRECT_REUSE</x:v>
      </x:c>
      <x:c r="C9" s="30" t="n">
        <x:v>126</x:v>
      </x:c>
      <x:c r="D9" s="30" t="str">
        <x:v>多投资人、多转让方角色完整覆盖。</x:v>
      </x:c>
      <x:c r="E9" s="45" t="str">
        <x:v>NO</x:v>
      </x:c>
      <x:c r="F9" s="30" t="str">
        <x:v>沿用v1.0</x:v>
      </x:c>
      <x:c r="G9" s="30" t="str">
        <x:v>可复用</x:v>
      </x:c>
    </x:row>
    <x:row r="10">
      <x:c r="A10" s="30" t="str">
        <x:v>evidence</x:v>
      </x:c>
      <x:c r="B10" s="30" t="str">
        <x:v>DIRECT_REUSE</x:v>
      </x:c>
      <x:c r="C10" s="30" t="n">
        <x:v>24</x:v>
      </x:c>
      <x:c r="D10" s="30" t="str">
        <x:v>事件、基金备案和早期缺口证据可追溯。</x:v>
      </x:c>
      <x:c r="E10" s="45" t="str">
        <x:v>NO</x:v>
      </x:c>
      <x:c r="F10" s="30" t="str">
        <x:v>沿用v1.0</x:v>
      </x:c>
      <x:c r="G10" s="30" t="str">
        <x:v>可复用</x:v>
      </x:c>
    </x:row>
    <x:row r="11">
      <x:c r="A11" s="30" t="str">
        <x:v>numeric_validation</x:v>
      </x:c>
      <x:c r="B11" s="30" t="str">
        <x:v>DIRECT_REUSE</x:v>
      </x:c>
      <x:c r="C11" s="30" t="n">
        <x:v>31</x:v>
      </x:c>
      <x:c r="D11" s="30" t="str">
        <x:v>资本勾稽、投资人金额求和和转让合计均可校验。</x:v>
      </x:c>
      <x:c r="E11" s="45" t="str">
        <x:v>NO</x:v>
      </x:c>
      <x:c r="F11" s="30" t="str">
        <x:v>沿用v1.0</x:v>
      </x:c>
      <x:c r="G11" s="30" t="str">
        <x:v>可复用</x:v>
      </x:c>
    </x:row>
    <x:row r="12">
      <x:c r="A12" s="30" t="str">
        <x:v>investment_paths</x:v>
      </x:c>
      <x:c r="B12" s="30" t="str">
        <x:v>DIRECT_REUSE</x:v>
      </x:c>
      <x:c r="C12" s="30" t="n">
        <x:v>85</x:v>
      </x:c>
      <x:c r="D12" s="30" t="str">
        <x:v>直接增资与老股受让路径均可表达。</x:v>
      </x:c>
      <x:c r="E12" s="45" t="str">
        <x:v>NO</x:v>
      </x:c>
      <x:c r="F12" s="30" t="str">
        <x:v>沿用v1.0</x:v>
      </x:c>
      <x:c r="G12" s="30" t="str">
        <x:v>可复用</x:v>
      </x:c>
    </x:row>
    <x:row r="13">
      <x:c r="A13" s="31" t="str">
        <x:v>validation_issues</x:v>
      </x:c>
      <x:c r="B13" s="31" t="str">
        <x:v>DIRECT_REUSE</x:v>
      </x:c>
      <x:c r="C13" s="31" t="n">
        <x:v>4</x:v>
      </x:c>
      <x:c r="D13" s="31" t="str">
        <x:v>观察窗、复合事件、同月多轮和实体分类边界均可记录。</x:v>
      </x:c>
      <x:c r="E13" s="46" t="str">
        <x:v>NO</x:v>
      </x:c>
      <x:c r="F13" s="31" t="str">
        <x:v>沿用v1.0</x:v>
      </x:c>
      <x:c r="G13" s="31" t="str">
        <x:v>可复用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24" hidden="0" customWidth="1"/>
  </x:cols>
  <x:sheetData>
    <x:row r="1" ht="30" customHeight="1">
      <x:c r="A1" s="3" t="str">
        <x:v>companies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 ht="30" customHeight="1">
      <x:c r="A4" s="19" t="str">
        <x:v>company_id</x:v>
      </x:c>
      <x:c r="B4" s="20" t="str">
        <x:v>source_stock_code</x:v>
      </x:c>
      <x:c r="C4" s="20" t="str">
        <x:v>company_name_standard</x:v>
      </x:c>
      <x:c r="D4" s="20" t="str">
        <x:v>prospectus_name</x:v>
      </x:c>
      <x:c r="E4" s="20" t="str">
        <x:v>financing_round_count</x:v>
      </x:c>
      <x:c r="F4" s="20" t="str">
        <x:v>financing_amount_lower_bound_10k_cny</x:v>
      </x:c>
      <x:c r="G4" s="20" t="str">
        <x:v>financing_amount_status</x:v>
      </x:c>
      <x:c r="H4" s="20" t="str">
        <x:v>equity_transfer_amount_lower_bound_10k_cny</x:v>
      </x:c>
      <x:c r="I4" s="20" t="str">
        <x:v>equity_transfer_amount_status</x:v>
      </x:c>
      <x:c r="J4" s="20" t="str">
        <x:v>unique_direct_legal_entity_count</x:v>
      </x:c>
      <x:c r="K4" s="20" t="str">
        <x:v>confirmed_pevc_legal_entity_count</x:v>
      </x:c>
      <x:c r="L4" s="20" t="str">
        <x:v>disclosure_limitation</x:v>
      </x:c>
      <x:c r="M4" s="20" t="str">
        <x:v>main_evidence_reference</x:v>
      </x:c>
      <x:c r="N4" s="21" t="str">
        <x:v>company_review_status</x:v>
      </x:c>
    </x:row>
    <x:row r="5">
      <x:c r="A5" s="59" t="str">
        <x:v>688726</x:v>
      </x:c>
      <x:c r="B5" s="59" t="str">
        <x:v>688726</x:v>
      </x:c>
      <x:c r="C5" s="59" t="str">
        <x:v>拉普拉斯</x:v>
      </x:c>
      <x:c r="D5" s="59" t="str">
        <x:v>688726_laplace_ipo_application_20230619.pdf</x:v>
      </x:c>
      <x:c r="E5" s="59" t="n">
        <x:v>11</x:v>
      </x:c>
      <x:c r="F5" s="60" t="n">
        <x:v>167442.1046</x:v>
      </x:c>
      <x:c r="G5" s="60" t="str">
        <x:v>KNOWN_LOWER_BOUND</x:v>
      </x:c>
      <x:c r="H5" s="60" t="n">
        <x:v>44483.391800000005</x:v>
      </x:c>
      <x:c r="I5" s="60" t="str">
        <x:v>KNOWN_LOWER_BOUND</x:v>
      </x:c>
      <x:c r="J5" s="59" t="n">
        <x:v>77</x:v>
      </x:c>
      <x:c r="K5" s="59" t="n">
        <x:v>29</x:v>
      </x:c>
      <x:c r="L5" s="59" t="str">
        <x:v>招股书逐笔股本变动表仅覆盖报告期（2020—2022年）；公司2016年设立资本500万元，报告期初资本为528.7089万元，二者之间的28.7089万元变化及可能相关交易未逐笔披露。因此11轮融资、融资金额和直接主体数均按可核验观察窗解释为下限。</x:v>
      </x:c>
      <x:c r="M5" s="59" t="str">
        <x:v>申报稿正文第33—40、119—120页；正式版上交所链接交叉核验</x:v>
      </x:c>
      <x:c r="N5" s="59" t="str">
        <x:v>ACCEPTED_LIMITATION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48" hidden="0" customWidth="1"/>
    <x:col min="14" max="14" width="18" hidden="0" customWidth="1"/>
    <x:col min="15" max="15" width="24" hidden="0" customWidth="1"/>
    <x:col min="16" max="16" width="18" hidden="0" customWidth="1"/>
    <x:col min="17" max="17" width="24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18" hidden="0" customWidth="1"/>
    <x:col min="25" max="25" width="24" hidden="0" customWidth="1"/>
    <x:col min="26" max="26" width="24" hidden="0" customWidth="1"/>
    <x:col min="27" max="27" width="24" hidden="0" customWidth="1"/>
  </x:cols>
  <x:sheetData>
    <x:row r="1" ht="30" customHeight="1">
      <x:c r="A1" s="3" t="str">
        <x:v>financing_events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  <x:c r="AA3" s="78"/>
    </x:row>
    <x:row r="4" ht="30" customHeight="1">
      <x:c r="A4" s="19" t="str">
        <x:v>event_id</x:v>
      </x:c>
      <x:c r="B4" s="20" t="str">
        <x:v>company_id</x:v>
      </x:c>
      <x:c r="C4" s="20" t="str">
        <x:v>source_event_id</x:v>
      </x:c>
      <x:c r="D4" s="20" t="str">
        <x:v>event_sequence</x:v>
      </x:c>
      <x:c r="E4" s="20" t="str">
        <x:v>event_date_original</x:v>
      </x:c>
      <x:c r="F4" s="20" t="str">
        <x:v>event_date_standardized</x:v>
      </x:c>
      <x:c r="G4" s="20" t="str">
        <x:v>date_precision</x:v>
      </x:c>
      <x:c r="H4" s="20" t="str">
        <x:v>event_type_source</x:v>
      </x:c>
      <x:c r="I4" s="20" t="str">
        <x:v>event_type_standardized</x:v>
      </x:c>
      <x:c r="J4" s="20" t="str">
        <x:v>in_scope_financing_flag</x:v>
      </x:c>
      <x:c r="K4" s="20" t="str">
        <x:v>financing_round_flag</x:v>
      </x:c>
      <x:c r="L4" s="20" t="str">
        <x:v>scope_exclusion_reason</x:v>
      </x:c>
      <x:c r="M4" s="20" t="str">
        <x:v>scope_basis</x:v>
      </x:c>
      <x:c r="N4" s="20" t="str">
        <x:v>registered_capital_before</x:v>
      </x:c>
      <x:c r="O4" s="20" t="str">
        <x:v>registered_capital_before_status</x:v>
      </x:c>
      <x:c r="P4" s="20" t="str">
        <x:v>registered_capital_after</x:v>
      </x:c>
      <x:c r="Q4" s="20" t="str">
        <x:v>registered_capital_after_status</x:v>
      </x:c>
      <x:c r="R4" s="20" t="str">
        <x:v>financing_amount_10k_cny</x:v>
      </x:c>
      <x:c r="S4" s="20" t="str">
        <x:v>financing_amount_original_text</x:v>
      </x:c>
      <x:c r="T4" s="20" t="str">
        <x:v>financing_amount_status</x:v>
      </x:c>
      <x:c r="U4" s="20" t="str">
        <x:v>amount_source_type</x:v>
      </x:c>
      <x:c r="V4" s="20" t="str">
        <x:v>financing_amount_original_currency</x:v>
      </x:c>
      <x:c r="W4" s="20" t="str">
        <x:v>financing_amount_original_unit</x:v>
      </x:c>
      <x:c r="X4" s="20" t="str">
        <x:v>financing_amount_standard_unit</x:v>
      </x:c>
      <x:c r="Y4" s="20" t="str">
        <x:v>primary_evidence_id</x:v>
      </x:c>
      <x:c r="Z4" s="20" t="str">
        <x:v>record_origin</x:v>
      </x:c>
      <x:c r="AA4" s="21" t="str">
        <x:v>review_status</x:v>
      </x:c>
    </x:row>
    <x:row r="5">
      <x:c r="A5" s="29" t="str">
        <x:v>EVT-688726-EST</x:v>
      </x:c>
      <x:c r="B5" s="29" t="str">
        <x:v>688726</x:v>
      </x:c>
      <x:c r="C5" s="29" t="str">
        <x:v>EVT-688726-EST</x:v>
      </x:c>
      <x:c r="D5" s="29" t="n">
        <x:v>1</x:v>
      </x:c>
      <x:c r="E5" s="29" t="str">
        <x:v>2016-05</x:v>
      </x:c>
      <x:c r="F5" s="29" t="str">
        <x:v>2016-05</x:v>
      </x:c>
      <x:c r="G5" s="29" t="str">
        <x:v>MONTH</x:v>
      </x:c>
      <x:c r="H5" s="29" t="str">
        <x:v>ESTABLISHMENT</x:v>
      </x:c>
      <x:c r="I5" s="29" t="str">
        <x:v>ESTABLISHMENT</x:v>
      </x:c>
      <x:c r="J5" s="69" t="b">
        <x:v>0</x:v>
      </x:c>
      <x:c r="K5" s="69" t="b">
        <x:v>0</x:v>
      </x:c>
      <x:c r="L5" s="29" t="str">
        <x:v>OUT_OF_SCOPE_EVENT_TYPE:ESTABLISHMENT</x:v>
      </x:c>
      <x:c r="M5" s="29" t="str">
        <x:v>WEEK7_WEEK8_UNIFIED_CALIBER_EXTENSION_BOUNDARY_TEST</x:v>
      </x:c>
      <x:c r="N5" s="72"/>
      <x:c r="O5" s="72" t="str">
        <x:v>NOT_APPLICABLE</x:v>
      </x:c>
      <x:c r="P5" s="72" t="n">
        <x:v>500</x:v>
      </x:c>
      <x:c r="Q5" s="72" t="str">
        <x:v>DISCLOSED_COMPLETE</x:v>
      </x:c>
      <x:c r="R5" s="72"/>
      <x:c r="S5" s="72"/>
      <x:c r="T5" s="72" t="str">
        <x:v>NOT_APPLICABLE</x:v>
      </x:c>
      <x:c r="U5" s="72"/>
      <x:c r="V5" s="72"/>
      <x:c r="W5" s="72"/>
      <x:c r="X5" s="72"/>
      <x:c r="Y5" s="29" t="str">
        <x:v>EVD-688726-0000</x:v>
      </x:c>
      <x:c r="Z5" s="29" t="str">
        <x:v>STANDARDIZED_RECORD</x:v>
      </x:c>
      <x:c r="AA5" s="29" t="str">
        <x:v>FINAL_APPROVED</x:v>
      </x:c>
    </x:row>
    <x:row r="6">
      <x:c r="A6" s="30" t="str">
        <x:v>EVT-688726-0001</x:v>
      </x:c>
      <x:c r="B6" s="30" t="str">
        <x:v>688726</x:v>
      </x:c>
      <x:c r="C6" s="30" t="str">
        <x:v>EVT-688726-0001</x:v>
      </x:c>
      <x:c r="D6" s="30" t="n">
        <x:v>2</x:v>
      </x:c>
      <x:c r="E6" s="30" t="str">
        <x:v>2020-04</x:v>
      </x:c>
      <x:c r="F6" s="30" t="str">
        <x:v>2020-04</x:v>
      </x:c>
      <x:c r="G6" s="30" t="str">
        <x:v>MONTH</x:v>
      </x:c>
      <x:c r="H6" s="30" t="str">
        <x:v>CAPITAL_INCREASE</x:v>
      </x:c>
      <x:c r="I6" s="30" t="str">
        <x:v>CAPITAL_INCREASE</x:v>
      </x:c>
      <x:c r="J6" s="70" t="b">
        <x:v>1</x:v>
      </x:c>
      <x:c r="K6" s="70" t="b">
        <x:v>1</x:v>
      </x:c>
      <x:c r="L6" s="30"/>
      <x:c r="M6" s="30" t="str">
        <x:v>WEEK7_WEEK8_UNIFIED_CALIBER_EXTENSION_BOUNDARY_TEST</x:v>
      </x:c>
      <x:c r="N6" s="73" t="n">
        <x:v>528.7089</x:v>
      </x:c>
      <x:c r="O6" s="73" t="str">
        <x:v>DISCLOSED_COMPLETE</x:v>
      </x:c>
      <x:c r="P6" s="73" t="n">
        <x:v>813.3983</x:v>
      </x:c>
      <x:c r="Q6" s="73" t="str">
        <x:v>DISCLOSED_COMPLETE</x:v>
      </x:c>
      <x:c r="R6" s="73" t="n">
        <x:v>5000</x:v>
      </x:c>
      <x:c r="S6" s="73" t="str">
        <x:v>5,000.0000万元</x:v>
      </x:c>
      <x:c r="T6" s="73" t="str">
        <x:v>DISCLOSED_COMPLETE</x:v>
      </x:c>
      <x:c r="U6" s="73" t="str">
        <x:v>DISCLOSED</x:v>
      </x:c>
      <x:c r="V6" s="73" t="str">
        <x:v>CNY</x:v>
      </x:c>
      <x:c r="W6" s="73" t="str">
        <x:v>万元</x:v>
      </x:c>
      <x:c r="X6" s="73" t="str">
        <x:v>万元人民币</x:v>
      </x:c>
      <x:c r="Y6" s="30" t="str">
        <x:v>EVD-688726-0001</x:v>
      </x:c>
      <x:c r="Z6" s="30" t="str">
        <x:v>STANDARDIZED_RECORD</x:v>
      </x:c>
      <x:c r="AA6" s="30" t="str">
        <x:v>FINAL_APPROVED</x:v>
      </x:c>
    </x:row>
    <x:row r="7">
      <x:c r="A7" s="30" t="str">
        <x:v>EVT-688726-0002</x:v>
      </x:c>
      <x:c r="B7" s="30" t="str">
        <x:v>688726</x:v>
      </x:c>
      <x:c r="C7" s="30" t="str">
        <x:v>EVT-688726-0002</x:v>
      </x:c>
      <x:c r="D7" s="30" t="n">
        <x:v>3</x:v>
      </x:c>
      <x:c r="E7" s="30" t="str">
        <x:v>2020-10</x:v>
      </x:c>
      <x:c r="F7" s="30" t="str">
        <x:v>2020-10</x:v>
      </x:c>
      <x:c r="G7" s="30" t="str">
        <x:v>MONTH</x:v>
      </x:c>
      <x:c r="H7" s="30" t="str">
        <x:v>EQUITY_TRANSFER</x:v>
      </x:c>
      <x:c r="I7" s="30" t="str">
        <x:v>EQUITY_TRANSFER</x:v>
      </x:c>
      <x:c r="J7" s="70" t="b">
        <x:v>0</x:v>
      </x:c>
      <x:c r="K7" s="70" t="b">
        <x:v>0</x:v>
      </x:c>
      <x:c r="L7" s="30" t="str">
        <x:v>OUT_OF_SCOPE_EVENT_TYPE:EQUITY_TRANSFER</x:v>
      </x:c>
      <x:c r="M7" s="30" t="str">
        <x:v>WEEK7_WEEK8_UNIFIED_CALIBER_EXTENSION_BOUNDARY_TEST</x:v>
      </x:c>
      <x:c r="N7" s="73"/>
      <x:c r="O7" s="73" t="str">
        <x:v>NOT_APPLICABLE</x:v>
      </x:c>
      <x:c r="P7" s="73"/>
      <x:c r="Q7" s="73" t="str">
        <x:v>NOT_APPLICABLE</x:v>
      </x:c>
      <x:c r="R7" s="73"/>
      <x:c r="S7" s="73"/>
      <x:c r="T7" s="73" t="str">
        <x:v>NOT_APPLICABLE</x:v>
      </x:c>
      <x:c r="U7" s="73"/>
      <x:c r="V7" s="73"/>
      <x:c r="W7" s="73"/>
      <x:c r="X7" s="73"/>
      <x:c r="Y7" s="30" t="str">
        <x:v>EVD-688726-0002</x:v>
      </x:c>
      <x:c r="Z7" s="30" t="str">
        <x:v>STANDARDIZED_RECORD</x:v>
      </x:c>
      <x:c r="AA7" s="30" t="str">
        <x:v>FINAL_APPROVED</x:v>
      </x:c>
    </x:row>
    <x:row r="8">
      <x:c r="A8" s="30" t="str">
        <x:v>EVT-688726-0003</x:v>
      </x:c>
      <x:c r="B8" s="30" t="str">
        <x:v>688726</x:v>
      </x:c>
      <x:c r="C8" s="30" t="str">
        <x:v>EVT-688726-0003</x:v>
      </x:c>
      <x:c r="D8" s="30" t="n">
        <x:v>4</x:v>
      </x:c>
      <x:c r="E8" s="30" t="str">
        <x:v>2020-11</x:v>
      </x:c>
      <x:c r="F8" s="30" t="str">
        <x:v>2020-11</x:v>
      </x:c>
      <x:c r="G8" s="30" t="str">
        <x:v>MONTH</x:v>
      </x:c>
      <x:c r="H8" s="30" t="str">
        <x:v>CAPITAL_INCREASE</x:v>
      </x:c>
      <x:c r="I8" s="30" t="str">
        <x:v>CAPITAL_INCREASE</x:v>
      </x:c>
      <x:c r="J8" s="70" t="b">
        <x:v>1</x:v>
      </x:c>
      <x:c r="K8" s="70" t="b">
        <x:v>1</x:v>
      </x:c>
      <x:c r="L8" s="30"/>
      <x:c r="M8" s="30" t="str">
        <x:v>WEEK7_WEEK8_UNIFIED_CALIBER_EXTENSION_BOUNDARY_TEST</x:v>
      </x:c>
      <x:c r="N8" s="73" t="n">
        <x:v>813.3983</x:v>
      </x:c>
      <x:c r="O8" s="73" t="str">
        <x:v>DISCLOSED_COMPLETE</x:v>
      </x:c>
      <x:c r="P8" s="73" t="n">
        <x:v>992.3462</x:v>
      </x:c>
      <x:c r="Q8" s="73" t="str">
        <x:v>DISCLOSED_COMPLETE</x:v>
      </x:c>
      <x:c r="R8" s="73" t="n">
        <x:v>5500</x:v>
      </x:c>
      <x:c r="S8" s="73" t="str">
        <x:v>5,500.0000万元</x:v>
      </x:c>
      <x:c r="T8" s="73" t="str">
        <x:v>DISCLOSED_COMPLETE</x:v>
      </x:c>
      <x:c r="U8" s="73" t="str">
        <x:v>CALCULATED</x:v>
      </x:c>
      <x:c r="V8" s="73" t="str">
        <x:v>CNY</x:v>
      </x:c>
      <x:c r="W8" s="73" t="str">
        <x:v>万元</x:v>
      </x:c>
      <x:c r="X8" s="73" t="str">
        <x:v>万元人民币</x:v>
      </x:c>
      <x:c r="Y8" s="30" t="str">
        <x:v>EVD-688726-0003</x:v>
      </x:c>
      <x:c r="Z8" s="30" t="str">
        <x:v>STANDARDIZED_RECORD</x:v>
      </x:c>
      <x:c r="AA8" s="30" t="str">
        <x:v>FINAL_APPROVED</x:v>
      </x:c>
    </x:row>
    <x:row r="9">
      <x:c r="A9" s="30" t="str">
        <x:v>EVT-688726-0004</x:v>
      </x:c>
      <x:c r="B9" s="30" t="str">
        <x:v>688726</x:v>
      </x:c>
      <x:c r="C9" s="30" t="str">
        <x:v>EVT-688726-0004</x:v>
      </x:c>
      <x:c r="D9" s="30" t="n">
        <x:v>5</x:v>
      </x:c>
      <x:c r="E9" s="30" t="str">
        <x:v>2020-12</x:v>
      </x:c>
      <x:c r="F9" s="30" t="str">
        <x:v>2020-12</x:v>
      </x:c>
      <x:c r="G9" s="30" t="str">
        <x:v>MONTH</x:v>
      </x:c>
      <x:c r="H9" s="30" t="str">
        <x:v>CAPITAL_INCREASE</x:v>
      </x:c>
      <x:c r="I9" s="30" t="str">
        <x:v>CAPITAL_INCREASE</x:v>
      </x:c>
      <x:c r="J9" s="70" t="b">
        <x:v>1</x:v>
      </x:c>
      <x:c r="K9" s="70" t="b">
        <x:v>1</x:v>
      </x:c>
      <x:c r="L9" s="30"/>
      <x:c r="M9" s="30" t="str">
        <x:v>WEEK7_WEEK8_UNIFIED_CALIBER_EXTENSION_BOUNDARY_TEST</x:v>
      </x:c>
      <x:c r="N9" s="73" t="n">
        <x:v>992.3462</x:v>
      </x:c>
      <x:c r="O9" s="73" t="str">
        <x:v>DISCLOSED_COMPLETE</x:v>
      </x:c>
      <x:c r="P9" s="73" t="n">
        <x:v>1102.6069</x:v>
      </x:c>
      <x:c r="Q9" s="73" t="str">
        <x:v>DISCLOSED_COMPLETE</x:v>
      </x:c>
      <x:c r="R9" s="73" t="n">
        <x:v>1355.1046000000001</x:v>
      </x:c>
      <x:c r="S9" s="73" t="str">
        <x:v>1,355.1046万元</x:v>
      </x:c>
      <x:c r="T9" s="73" t="str">
        <x:v>DISCLOSED_COMPLETE</x:v>
      </x:c>
      <x:c r="U9" s="73" t="str">
        <x:v>CALCULATED</x:v>
      </x:c>
      <x:c r="V9" s="73" t="str">
        <x:v>CNY</x:v>
      </x:c>
      <x:c r="W9" s="73" t="str">
        <x:v>万元</x:v>
      </x:c>
      <x:c r="X9" s="73" t="str">
        <x:v>万元人民币</x:v>
      </x:c>
      <x:c r="Y9" s="30" t="str">
        <x:v>EVD-688726-0004</x:v>
      </x:c>
      <x:c r="Z9" s="30" t="str">
        <x:v>STANDARDIZED_RECORD</x:v>
      </x:c>
      <x:c r="AA9" s="30" t="str">
        <x:v>FINAL_APPROVED</x:v>
      </x:c>
    </x:row>
    <x:row r="10">
      <x:c r="A10" s="30" t="str">
        <x:v>EVT-688726-0005</x:v>
      </x:c>
      <x:c r="B10" s="30" t="str">
        <x:v>688726</x:v>
      </x:c>
      <x:c r="C10" s="30" t="str">
        <x:v>EVT-688726-0005</x:v>
      </x:c>
      <x:c r="D10" s="30" t="n">
        <x:v>6</x:v>
      </x:c>
      <x:c r="E10" s="30" t="str">
        <x:v>2021-06</x:v>
      </x:c>
      <x:c r="F10" s="30" t="str">
        <x:v>2021-06</x:v>
      </x:c>
      <x:c r="G10" s="30" t="str">
        <x:v>MONTH</x:v>
      </x:c>
      <x:c r="H10" s="30" t="str">
        <x:v>EQUITY_TRANSFER</x:v>
      </x:c>
      <x:c r="I10" s="30" t="str">
        <x:v>EQUITY_TRANSFER</x:v>
      </x:c>
      <x:c r="J10" s="70" t="b">
        <x:v>0</x:v>
      </x:c>
      <x:c r="K10" s="70" t="b">
        <x:v>0</x:v>
      </x:c>
      <x:c r="L10" s="30" t="str">
        <x:v>OUT_OF_SCOPE_EVENT_TYPE:EQUITY_TRANSFER</x:v>
      </x:c>
      <x:c r="M10" s="30" t="str">
        <x:v>WEEK7_WEEK8_UNIFIED_CALIBER_EXTENSION_BOUNDARY_TEST</x:v>
      </x:c>
      <x:c r="N10" s="73"/>
      <x:c r="O10" s="73" t="str">
        <x:v>NOT_APPLICABLE</x:v>
      </x:c>
      <x:c r="P10" s="73"/>
      <x:c r="Q10" s="73" t="str">
        <x:v>NOT_APPLICABLE</x:v>
      </x:c>
      <x:c r="R10" s="73"/>
      <x:c r="S10" s="73"/>
      <x:c r="T10" s="73" t="str">
        <x:v>NOT_APPLICABLE</x:v>
      </x:c>
      <x:c r="U10" s="73"/>
      <x:c r="V10" s="73"/>
      <x:c r="W10" s="73"/>
      <x:c r="X10" s="73"/>
      <x:c r="Y10" s="30" t="str">
        <x:v>EVD-688726-0005</x:v>
      </x:c>
      <x:c r="Z10" s="30" t="str">
        <x:v>STANDARDIZED_RECORD</x:v>
      </x:c>
      <x:c r="AA10" s="30" t="str">
        <x:v>FINAL_APPROVED</x:v>
      </x:c>
    </x:row>
    <x:row r="11">
      <x:c r="A11" s="30" t="str">
        <x:v>EVT-688726-0006</x:v>
      </x:c>
      <x:c r="B11" s="30" t="str">
        <x:v>688726</x:v>
      </x:c>
      <x:c r="C11" s="30" t="str">
        <x:v>EVT-688726-0006</x:v>
      </x:c>
      <x:c r="D11" s="30" t="n">
        <x:v>7</x:v>
      </x:c>
      <x:c r="E11" s="30" t="str">
        <x:v>2021-09</x:v>
      </x:c>
      <x:c r="F11" s="30" t="str">
        <x:v>2021-09</x:v>
      </x:c>
      <x:c r="G11" s="30" t="str">
        <x:v>MONTH</x:v>
      </x:c>
      <x:c r="H11" s="30" t="str">
        <x:v>CAPITAL_INCREASE</x:v>
      </x:c>
      <x:c r="I11" s="30" t="str">
        <x:v>CAPITAL_INCREASE</x:v>
      </x:c>
      <x:c r="J11" s="70" t="b">
        <x:v>1</x:v>
      </x:c>
      <x:c r="K11" s="70" t="b">
        <x:v>1</x:v>
      </x:c>
      <x:c r="L11" s="30"/>
      <x:c r="M11" s="30" t="str">
        <x:v>WEEK7_WEEK8_UNIFIED_CALIBER_EXTENSION_BOUNDARY_TEST</x:v>
      </x:c>
      <x:c r="N11" s="73" t="n">
        <x:v>1102.6069</x:v>
      </x:c>
      <x:c r="O11" s="73" t="str">
        <x:v>DISCLOSED_COMPLETE</x:v>
      </x:c>
      <x:c r="P11" s="73" t="n">
        <x:v>1304.7517</x:v>
      </x:c>
      <x:c r="Q11" s="73" t="str">
        <x:v>DISCLOSED_COMPLETE</x:v>
      </x:c>
      <x:c r="R11" s="73" t="n">
        <x:v>33000</x:v>
      </x:c>
      <x:c r="S11" s="73" t="str">
        <x:v>33,000.0000万元</x:v>
      </x:c>
      <x:c r="T11" s="73" t="str">
        <x:v>DISCLOSED_COMPLETE</x:v>
      </x:c>
      <x:c r="U11" s="73" t="str">
        <x:v>CALCULATED</x:v>
      </x:c>
      <x:c r="V11" s="73" t="str">
        <x:v>CNY</x:v>
      </x:c>
      <x:c r="W11" s="73" t="str">
        <x:v>万元</x:v>
      </x:c>
      <x:c r="X11" s="73" t="str">
        <x:v>万元人民币</x:v>
      </x:c>
      <x:c r="Y11" s="30" t="str">
        <x:v>EVD-688726-0006</x:v>
      </x:c>
      <x:c r="Z11" s="30" t="str">
        <x:v>STANDARDIZED_RECORD</x:v>
      </x:c>
      <x:c r="AA11" s="30" t="str">
        <x:v>FINAL_APPROVED</x:v>
      </x:c>
    </x:row>
    <x:row r="12">
      <x:c r="A12" s="30" t="str">
        <x:v>EVT-688726-0007</x:v>
      </x:c>
      <x:c r="B12" s="30" t="str">
        <x:v>688726</x:v>
      </x:c>
      <x:c r="C12" s="30" t="str">
        <x:v>EVT-688726-0007</x:v>
      </x:c>
      <x:c r="D12" s="30" t="n">
        <x:v>8</x:v>
      </x:c>
      <x:c r="E12" s="30" t="str">
        <x:v>2021-10</x:v>
      </x:c>
      <x:c r="F12" s="30" t="str">
        <x:v>2021-10</x:v>
      </x:c>
      <x:c r="G12" s="30" t="str">
        <x:v>MONTH</x:v>
      </x:c>
      <x:c r="H12" s="30" t="str">
        <x:v>EQUITY_TRANSFER</x:v>
      </x:c>
      <x:c r="I12" s="30" t="str">
        <x:v>EQUITY_TRANSFER</x:v>
      </x:c>
      <x:c r="J12" s="70" t="b">
        <x:v>0</x:v>
      </x:c>
      <x:c r="K12" s="70" t="b">
        <x:v>0</x:v>
      </x:c>
      <x:c r="L12" s="30" t="str">
        <x:v>OUT_OF_SCOPE_EVENT_TYPE:EQUITY_TRANSFER</x:v>
      </x:c>
      <x:c r="M12" s="30" t="str">
        <x:v>WEEK7_WEEK8_UNIFIED_CALIBER_EXTENSION_BOUNDARY_TEST</x:v>
      </x:c>
      <x:c r="N12" s="73"/>
      <x:c r="O12" s="73" t="str">
        <x:v>NOT_APPLICABLE</x:v>
      </x:c>
      <x:c r="P12" s="73"/>
      <x:c r="Q12" s="73" t="str">
        <x:v>NOT_APPLICABLE</x:v>
      </x:c>
      <x:c r="R12" s="73"/>
      <x:c r="S12" s="73"/>
      <x:c r="T12" s="73" t="str">
        <x:v>NOT_APPLICABLE</x:v>
      </x:c>
      <x:c r="U12" s="73"/>
      <x:c r="V12" s="73"/>
      <x:c r="W12" s="73"/>
      <x:c r="X12" s="73"/>
      <x:c r="Y12" s="30" t="str">
        <x:v>EVD-688726-0007</x:v>
      </x:c>
      <x:c r="Z12" s="30" t="str">
        <x:v>STANDARDIZED_RECORD</x:v>
      </x:c>
      <x:c r="AA12" s="30" t="str">
        <x:v>FINAL_APPROVED</x:v>
      </x:c>
    </x:row>
    <x:row r="13">
      <x:c r="A13" s="30" t="str">
        <x:v>EVT-688726-0008</x:v>
      </x:c>
      <x:c r="B13" s="30" t="str">
        <x:v>688726</x:v>
      </x:c>
      <x:c r="C13" s="30" t="str">
        <x:v>EVT-688726-0008</x:v>
      </x:c>
      <x:c r="D13" s="30" t="n">
        <x:v>9</x:v>
      </x:c>
      <x:c r="E13" s="30" t="str">
        <x:v>2021-12</x:v>
      </x:c>
      <x:c r="F13" s="30" t="str">
        <x:v>2021-12</x:v>
      </x:c>
      <x:c r="G13" s="30" t="str">
        <x:v>MONTH</x:v>
      </x:c>
      <x:c r="H13" s="30" t="str">
        <x:v>EQUITY_TRANSFER</x:v>
      </x:c>
      <x:c r="I13" s="30" t="str">
        <x:v>EQUITY_TRANSFER</x:v>
      </x:c>
      <x:c r="J13" s="70" t="b">
        <x:v>0</x:v>
      </x:c>
      <x:c r="K13" s="70" t="b">
        <x:v>0</x:v>
      </x:c>
      <x:c r="L13" s="30" t="str">
        <x:v>OUT_OF_SCOPE_EVENT_TYPE:EQUITY_TRANSFER</x:v>
      </x:c>
      <x:c r="M13" s="30" t="str">
        <x:v>WEEK7_WEEK8_UNIFIED_CALIBER_EXTENSION_BOUNDARY_TEST</x:v>
      </x:c>
      <x:c r="N13" s="73"/>
      <x:c r="O13" s="73" t="str">
        <x:v>NOT_APPLICABLE</x:v>
      </x:c>
      <x:c r="P13" s="73"/>
      <x:c r="Q13" s="73" t="str">
        <x:v>NOT_APPLICABLE</x:v>
      </x:c>
      <x:c r="R13" s="73"/>
      <x:c r="S13" s="73"/>
      <x:c r="T13" s="73" t="str">
        <x:v>NOT_APPLICABLE</x:v>
      </x:c>
      <x:c r="U13" s="73"/>
      <x:c r="V13" s="73"/>
      <x:c r="W13" s="73"/>
      <x:c r="X13" s="73"/>
      <x:c r="Y13" s="30" t="str">
        <x:v>EVD-688726-0008</x:v>
      </x:c>
      <x:c r="Z13" s="30" t="str">
        <x:v>STANDARDIZED_RECORD</x:v>
      </x:c>
      <x:c r="AA13" s="30" t="str">
        <x:v>FINAL_APPROVED</x:v>
      </x:c>
    </x:row>
    <x:row r="14">
      <x:c r="A14" s="30" t="str">
        <x:v>EVT-688726-0009</x:v>
      </x:c>
      <x:c r="B14" s="30" t="str">
        <x:v>688726</x:v>
      </x:c>
      <x:c r="C14" s="30" t="str">
        <x:v>EVT-688726-0009</x:v>
      </x:c>
      <x:c r="D14" s="30" t="n">
        <x:v>10</x:v>
      </x:c>
      <x:c r="E14" s="30" t="str">
        <x:v>2021-12</x:v>
      </x:c>
      <x:c r="F14" s="30" t="str">
        <x:v>2021-12</x:v>
      </x:c>
      <x:c r="G14" s="30" t="str">
        <x:v>MONTH</x:v>
      </x:c>
      <x:c r="H14" s="30" t="str">
        <x:v>CAPITAL_INCREASE</x:v>
      </x:c>
      <x:c r="I14" s="30" t="str">
        <x:v>CAPITAL_INCREASE</x:v>
      </x:c>
      <x:c r="J14" s="70" t="b">
        <x:v>1</x:v>
      </x:c>
      <x:c r="K14" s="70" t="b">
        <x:v>1</x:v>
      </x:c>
      <x:c r="L14" s="30"/>
      <x:c r="M14" s="30" t="str">
        <x:v>WEEK7_WEEK8_UNIFIED_CALIBER_EXTENSION_BOUNDARY_TEST</x:v>
      </x:c>
      <x:c r="N14" s="73" t="n">
        <x:v>1304.7517</x:v>
      </x:c>
      <x:c r="O14" s="73" t="str">
        <x:v>DISCLOSED_COMPLETE</x:v>
      </x:c>
      <x:c r="P14" s="73" t="n">
        <x:v>1384.3845</x:v>
      </x:c>
      <x:c r="Q14" s="73" t="str">
        <x:v>DISCLOSED_COMPLETE</x:v>
      </x:c>
      <x:c r="R14" s="73" t="n">
        <x:v>13000</x:v>
      </x:c>
      <x:c r="S14" s="73" t="str">
        <x:v>13,000.0000万元</x:v>
      </x:c>
      <x:c r="T14" s="73" t="str">
        <x:v>DISCLOSED_COMPLETE</x:v>
      </x:c>
      <x:c r="U14" s="73" t="str">
        <x:v>CALCULATED</x:v>
      </x:c>
      <x:c r="V14" s="73" t="str">
        <x:v>CNY</x:v>
      </x:c>
      <x:c r="W14" s="73" t="str">
        <x:v>万元</x:v>
      </x:c>
      <x:c r="X14" s="73" t="str">
        <x:v>万元人民币</x:v>
      </x:c>
      <x:c r="Y14" s="30" t="str">
        <x:v>EVD-688726-0009</x:v>
      </x:c>
      <x:c r="Z14" s="30" t="str">
        <x:v>STANDARDIZED_RECORD</x:v>
      </x:c>
      <x:c r="AA14" s="30" t="str">
        <x:v>FINAL_APPROVED</x:v>
      </x:c>
    </x:row>
    <x:row r="15">
      <x:c r="A15" s="30" t="str">
        <x:v>EVT-688726-0010</x:v>
      </x:c>
      <x:c r="B15" s="30" t="str">
        <x:v>688726</x:v>
      </x:c>
      <x:c r="C15" s="30" t="str">
        <x:v>EVT-688726-0010</x:v>
      </x:c>
      <x:c r="D15" s="30" t="n">
        <x:v>11</x:v>
      </x:c>
      <x:c r="E15" s="30" t="str">
        <x:v>2022-04</x:v>
      </x:c>
      <x:c r="F15" s="30" t="str">
        <x:v>2022-04</x:v>
      </x:c>
      <x:c r="G15" s="30" t="str">
        <x:v>MONTH</x:v>
      </x:c>
      <x:c r="H15" s="30" t="str">
        <x:v>EQUITY_TRANSFER</x:v>
      </x:c>
      <x:c r="I15" s="30" t="str">
        <x:v>EQUITY_TRANSFER</x:v>
      </x:c>
      <x:c r="J15" s="70" t="b">
        <x:v>0</x:v>
      </x:c>
      <x:c r="K15" s="70" t="b">
        <x:v>0</x:v>
      </x:c>
      <x:c r="L15" s="30" t="str">
        <x:v>OUT_OF_SCOPE_EVENT_TYPE:EQUITY_TRANSFER</x:v>
      </x:c>
      <x:c r="M15" s="30" t="str">
        <x:v>WEEK7_WEEK8_UNIFIED_CALIBER_EXTENSION_BOUNDARY_TEST</x:v>
      </x:c>
      <x:c r="N15" s="73"/>
      <x:c r="O15" s="73" t="str">
        <x:v>NOT_APPLICABLE</x:v>
      </x:c>
      <x:c r="P15" s="73"/>
      <x:c r="Q15" s="73" t="str">
        <x:v>NOT_APPLICABLE</x:v>
      </x:c>
      <x:c r="R15" s="73"/>
      <x:c r="S15" s="73"/>
      <x:c r="T15" s="73" t="str">
        <x:v>NOT_APPLICABLE</x:v>
      </x:c>
      <x:c r="U15" s="73"/>
      <x:c r="V15" s="73"/>
      <x:c r="W15" s="73"/>
      <x:c r="X15" s="73"/>
      <x:c r="Y15" s="30" t="str">
        <x:v>EVD-688726-0010</x:v>
      </x:c>
      <x:c r="Z15" s="30" t="str">
        <x:v>STANDARDIZED_RECORD</x:v>
      </x:c>
      <x:c r="AA15" s="30" t="str">
        <x:v>FINAL_APPROVED</x:v>
      </x:c>
    </x:row>
    <x:row r="16">
      <x:c r="A16" s="30" t="str">
        <x:v>EVT-688726-0011</x:v>
      </x:c>
      <x:c r="B16" s="30" t="str">
        <x:v>688726</x:v>
      </x:c>
      <x:c r="C16" s="30" t="str">
        <x:v>EVT-688726-0011</x:v>
      </x:c>
      <x:c r="D16" s="30" t="n">
        <x:v>12</x:v>
      </x:c>
      <x:c r="E16" s="30" t="str">
        <x:v>2022-05</x:v>
      </x:c>
      <x:c r="F16" s="30" t="str">
        <x:v>2022-05</x:v>
      </x:c>
      <x:c r="G16" s="30" t="str">
        <x:v>MONTH</x:v>
      </x:c>
      <x:c r="H16" s="30" t="str">
        <x:v>EQUITY_TRANSFER</x:v>
      </x:c>
      <x:c r="I16" s="30" t="str">
        <x:v>EQUITY_TRANSFER</x:v>
      </x:c>
      <x:c r="J16" s="70" t="b">
        <x:v>0</x:v>
      </x:c>
      <x:c r="K16" s="70" t="b">
        <x:v>0</x:v>
      </x:c>
      <x:c r="L16" s="30" t="str">
        <x:v>OUT_OF_SCOPE_EVENT_TYPE:EQUITY_TRANSFER</x:v>
      </x:c>
      <x:c r="M16" s="30" t="str">
        <x:v>WEEK7_WEEK8_UNIFIED_CALIBER_EXTENSION_BOUNDARY_TEST</x:v>
      </x:c>
      <x:c r="N16" s="73"/>
      <x:c r="O16" s="73" t="str">
        <x:v>NOT_APPLICABLE</x:v>
      </x:c>
      <x:c r="P16" s="73"/>
      <x:c r="Q16" s="73" t="str">
        <x:v>NOT_APPLICABLE</x:v>
      </x:c>
      <x:c r="R16" s="73"/>
      <x:c r="S16" s="73"/>
      <x:c r="T16" s="73" t="str">
        <x:v>NOT_APPLICABLE</x:v>
      </x:c>
      <x:c r="U16" s="73"/>
      <x:c r="V16" s="73"/>
      <x:c r="W16" s="73"/>
      <x:c r="X16" s="73"/>
      <x:c r="Y16" s="30" t="str">
        <x:v>EVD-688726-0011</x:v>
      </x:c>
      <x:c r="Z16" s="30" t="str">
        <x:v>STANDARDIZED_RECORD</x:v>
      </x:c>
      <x:c r="AA16" s="30" t="str">
        <x:v>FINAL_APPROVED</x:v>
      </x:c>
    </x:row>
    <x:row r="17">
      <x:c r="A17" s="30" t="str">
        <x:v>EVT-688726-0012</x:v>
      </x:c>
      <x:c r="B17" s="30" t="str">
        <x:v>688726</x:v>
      </x:c>
      <x:c r="C17" s="30" t="str">
        <x:v>EVT-688726-0012</x:v>
      </x:c>
      <x:c r="D17" s="30" t="n">
        <x:v>13</x:v>
      </x:c>
      <x:c r="E17" s="30" t="str">
        <x:v>2022-05</x:v>
      </x:c>
      <x:c r="F17" s="30" t="str">
        <x:v>2022-05</x:v>
      </x:c>
      <x:c r="G17" s="30" t="str">
        <x:v>MONTH</x:v>
      </x:c>
      <x:c r="H17" s="30" t="str">
        <x:v>EQUITY_TRANSFER_AND_CAPITAL_INCREASE</x:v>
      </x:c>
      <x:c r="I17" s="30" t="str">
        <x:v>COMPOUND</x:v>
      </x:c>
      <x:c r="J17" s="70" t="b">
        <x:v>1</x:v>
      </x:c>
      <x:c r="K17" s="70" t="b">
        <x:v>1</x:v>
      </x:c>
      <x:c r="L17" s="30"/>
      <x:c r="M17" s="30" t="str">
        <x:v>WEEK7_WEEK8_UNIFIED_CALIBER_EXTENSION_BOUNDARY_TEST</x:v>
      </x:c>
      <x:c r="N17" s="73" t="n">
        <x:v>1384.3845</x:v>
      </x:c>
      <x:c r="O17" s="73" t="str">
        <x:v>DISCLOSED_COMPLETE</x:v>
      </x:c>
      <x:c r="P17" s="73" t="n">
        <x:v>1390.5101</x:v>
      </x:c>
      <x:c r="Q17" s="73" t="str">
        <x:v>DISCLOSED_COMPLETE</x:v>
      </x:c>
      <x:c r="R17" s="73" t="n">
        <x:v>1000</x:v>
      </x:c>
      <x:c r="S17" s="73" t="str">
        <x:v>1,000.0000万元</x:v>
      </x:c>
      <x:c r="T17" s="73" t="str">
        <x:v>DISCLOSED_COMPLETE</x:v>
      </x:c>
      <x:c r="U17" s="73" t="str">
        <x:v>DISCLOSED</x:v>
      </x:c>
      <x:c r="V17" s="73" t="str">
        <x:v>CNY</x:v>
      </x:c>
      <x:c r="W17" s="73" t="str">
        <x:v>万元</x:v>
      </x:c>
      <x:c r="X17" s="73" t="str">
        <x:v>万元人民币</x:v>
      </x:c>
      <x:c r="Y17" s="30" t="str">
        <x:v>EVD-688726-0012</x:v>
      </x:c>
      <x:c r="Z17" s="30" t="str">
        <x:v>STANDARDIZED_RECORD</x:v>
      </x:c>
      <x:c r="AA17" s="30" t="str">
        <x:v>FINAL_APPROVED</x:v>
      </x:c>
    </x:row>
    <x:row r="18">
      <x:c r="A18" s="30" t="str">
        <x:v>EVT-688726-0013</x:v>
      </x:c>
      <x:c r="B18" s="30" t="str">
        <x:v>688726</x:v>
      </x:c>
      <x:c r="C18" s="30" t="str">
        <x:v>EVT-688726-0013</x:v>
      </x:c>
      <x:c r="D18" s="30" t="n">
        <x:v>14</x:v>
      </x:c>
      <x:c r="E18" s="30" t="str">
        <x:v>2022-07</x:v>
      </x:c>
      <x:c r="F18" s="30" t="str">
        <x:v>2022-07</x:v>
      </x:c>
      <x:c r="G18" s="30" t="str">
        <x:v>MONTH</x:v>
      </x:c>
      <x:c r="H18" s="30" t="str">
        <x:v>CAPITAL_INCREASE</x:v>
      </x:c>
      <x:c r="I18" s="30" t="str">
        <x:v>CAPITAL_INCREASE</x:v>
      </x:c>
      <x:c r="J18" s="70" t="b">
        <x:v>1</x:v>
      </x:c>
      <x:c r="K18" s="70" t="b">
        <x:v>1</x:v>
      </x:c>
      <x:c r="L18" s="30"/>
      <x:c r="M18" s="30" t="str">
        <x:v>WEEK7_WEEK8_UNIFIED_CALIBER_EXTENSION_BOUNDARY_TEST</x:v>
      </x:c>
      <x:c r="N18" s="73" t="n">
        <x:v>1390.5101</x:v>
      </x:c>
      <x:c r="O18" s="73" t="str">
        <x:v>DISCLOSED_COMPLETE</x:v>
      </x:c>
      <x:c r="P18" s="73" t="n">
        <x:v>1422.7699</x:v>
      </x:c>
      <x:c r="Q18" s="73" t="str">
        <x:v>DISCLOSED_COMPLETE</x:v>
      </x:c>
      <x:c r="R18" s="73" t="n">
        <x:v>11600</x:v>
      </x:c>
      <x:c r="S18" s="73" t="str">
        <x:v>11,600.0000万元</x:v>
      </x:c>
      <x:c r="T18" s="73" t="str">
        <x:v>DISCLOSED_COMPLETE</x:v>
      </x:c>
      <x:c r="U18" s="73" t="str">
        <x:v>CALCULATED</x:v>
      </x:c>
      <x:c r="V18" s="73" t="str">
        <x:v>CNY</x:v>
      </x:c>
      <x:c r="W18" s="73" t="str">
        <x:v>万元</x:v>
      </x:c>
      <x:c r="X18" s="73" t="str">
        <x:v>万元人民币</x:v>
      </x:c>
      <x:c r="Y18" s="30" t="str">
        <x:v>EVD-688726-0013</x:v>
      </x:c>
      <x:c r="Z18" s="30" t="str">
        <x:v>STANDARDIZED_RECORD</x:v>
      </x:c>
      <x:c r="AA18" s="30" t="str">
        <x:v>FINAL_APPROVED</x:v>
      </x:c>
    </x:row>
    <x:row r="19">
      <x:c r="A19" s="30" t="str">
        <x:v>EVT-688726-0014</x:v>
      </x:c>
      <x:c r="B19" s="30" t="str">
        <x:v>688726</x:v>
      </x:c>
      <x:c r="C19" s="30" t="str">
        <x:v>EVT-688726-0014</x:v>
      </x:c>
      <x:c r="D19" s="30" t="n">
        <x:v>15</x:v>
      </x:c>
      <x:c r="E19" s="30" t="str">
        <x:v>2022-07</x:v>
      </x:c>
      <x:c r="F19" s="30" t="str">
        <x:v>2022-07</x:v>
      </x:c>
      <x:c r="G19" s="30" t="str">
        <x:v>MONTH</x:v>
      </x:c>
      <x:c r="H19" s="30" t="str">
        <x:v>CAPITAL_INCREASE</x:v>
      </x:c>
      <x:c r="I19" s="30" t="str">
        <x:v>CAPITAL_INCREASE</x:v>
      </x:c>
      <x:c r="J19" s="70" t="b">
        <x:v>1</x:v>
      </x:c>
      <x:c r="K19" s="70" t="b">
        <x:v>1</x:v>
      </x:c>
      <x:c r="L19" s="30"/>
      <x:c r="M19" s="30" t="str">
        <x:v>WEEK7_WEEK8_UNIFIED_CALIBER_EXTENSION_BOUNDARY_TEST</x:v>
      </x:c>
      <x:c r="N19" s="73" t="n">
        <x:v>1422.7699</x:v>
      </x:c>
      <x:c r="O19" s="73" t="str">
        <x:v>DISCLOSED_COMPLETE</x:v>
      </x:c>
      <x:c r="P19" s="73" t="n">
        <x:v>1466.9882</x:v>
      </x:c>
      <x:c r="Q19" s="73" t="str">
        <x:v>DISCLOSED_COMPLETE</x:v>
      </x:c>
      <x:c r="R19" s="73" t="n">
        <x:v>15900</x:v>
      </x:c>
      <x:c r="S19" s="73" t="str">
        <x:v>15,900.0000万元</x:v>
      </x:c>
      <x:c r="T19" s="73" t="str">
        <x:v>DISCLOSED_COMPLETE</x:v>
      </x:c>
      <x:c r="U19" s="73" t="str">
        <x:v>CALCULATED</x:v>
      </x:c>
      <x:c r="V19" s="73" t="str">
        <x:v>CNY</x:v>
      </x:c>
      <x:c r="W19" s="73" t="str">
        <x:v>万元</x:v>
      </x:c>
      <x:c r="X19" s="73" t="str">
        <x:v>万元人民币</x:v>
      </x:c>
      <x:c r="Y19" s="30" t="str">
        <x:v>EVD-688726-0014</x:v>
      </x:c>
      <x:c r="Z19" s="30" t="str">
        <x:v>STANDARDIZED_RECORD</x:v>
      </x:c>
      <x:c r="AA19" s="30" t="str">
        <x:v>FINAL_APPROVED</x:v>
      </x:c>
    </x:row>
    <x:row r="20">
      <x:c r="A20" s="30" t="str">
        <x:v>EVT-688726-0015</x:v>
      </x:c>
      <x:c r="B20" s="30" t="str">
        <x:v>688726</x:v>
      </x:c>
      <x:c r="C20" s="30" t="str">
        <x:v>EVT-688726-0015</x:v>
      </x:c>
      <x:c r="D20" s="30" t="n">
        <x:v>16</x:v>
      </x:c>
      <x:c r="E20" s="30" t="str">
        <x:v>2022-08</x:v>
      </x:c>
      <x:c r="F20" s="30" t="str">
        <x:v>2022-08</x:v>
      </x:c>
      <x:c r="G20" s="30" t="str">
        <x:v>MONTH</x:v>
      </x:c>
      <x:c r="H20" s="30" t="str">
        <x:v>EQUITY_TRANSFER</x:v>
      </x:c>
      <x:c r="I20" s="30" t="str">
        <x:v>EQUITY_TRANSFER</x:v>
      </x:c>
      <x:c r="J20" s="70" t="b">
        <x:v>0</x:v>
      </x:c>
      <x:c r="K20" s="70" t="b">
        <x:v>0</x:v>
      </x:c>
      <x:c r="L20" s="30" t="str">
        <x:v>OUT_OF_SCOPE_EVENT_TYPE:EQUITY_TRANSFER</x:v>
      </x:c>
      <x:c r="M20" s="30" t="str">
        <x:v>WEEK7_WEEK8_UNIFIED_CALIBER_EXTENSION_BOUNDARY_TEST</x:v>
      </x:c>
      <x:c r="N20" s="73"/>
      <x:c r="O20" s="73" t="str">
        <x:v>NOT_APPLICABLE</x:v>
      </x:c>
      <x:c r="P20" s="73"/>
      <x:c r="Q20" s="73" t="str">
        <x:v>NOT_APPLICABLE</x:v>
      </x:c>
      <x:c r="R20" s="73"/>
      <x:c r="S20" s="73"/>
      <x:c r="T20" s="73" t="str">
        <x:v>NOT_APPLICABLE</x:v>
      </x:c>
      <x:c r="U20" s="73"/>
      <x:c r="V20" s="73"/>
      <x:c r="W20" s="73"/>
      <x:c r="X20" s="73"/>
      <x:c r="Y20" s="30" t="str">
        <x:v>EVD-688726-0015</x:v>
      </x:c>
      <x:c r="Z20" s="30" t="str">
        <x:v>STANDARDIZED_RECORD</x:v>
      </x:c>
      <x:c r="AA20" s="30" t="str">
        <x:v>FINAL_APPROVED</x:v>
      </x:c>
    </x:row>
    <x:row r="21">
      <x:c r="A21" s="30" t="str">
        <x:v>EVT-688726-0016</x:v>
      </x:c>
      <x:c r="B21" s="30" t="str">
        <x:v>688726</x:v>
      </x:c>
      <x:c r="C21" s="30" t="str">
        <x:v>EVT-688726-0016</x:v>
      </x:c>
      <x:c r="D21" s="30" t="n">
        <x:v>17</x:v>
      </x:c>
      <x:c r="E21" s="30" t="str">
        <x:v>2022-08</x:v>
      </x:c>
      <x:c r="F21" s="30" t="str">
        <x:v>2022-08</x:v>
      </x:c>
      <x:c r="G21" s="30" t="str">
        <x:v>MONTH</x:v>
      </x:c>
      <x:c r="H21" s="30" t="str">
        <x:v>CAPITAL_INCREASE</x:v>
      </x:c>
      <x:c r="I21" s="30" t="str">
        <x:v>CAPITAL_INCREASE</x:v>
      </x:c>
      <x:c r="J21" s="70" t="b">
        <x:v>1</x:v>
      </x:c>
      <x:c r="K21" s="70" t="b">
        <x:v>1</x:v>
      </x:c>
      <x:c r="L21" s="30"/>
      <x:c r="M21" s="30" t="str">
        <x:v>WEEK7_WEEK8_UNIFIED_CALIBER_EXTENSION_BOUNDARY_TEST</x:v>
      </x:c>
      <x:c r="N21" s="73" t="n">
        <x:v>1466.9882</x:v>
      </x:c>
      <x:c r="O21" s="73" t="str">
        <x:v>DISCLOSED_COMPLETE</x:v>
      </x:c>
      <x:c r="P21" s="73" t="n">
        <x:v>1518.159</x:v>
      </x:c>
      <x:c r="Q21" s="73" t="str">
        <x:v>DISCLOSED_COMPLETE</x:v>
      </x:c>
      <x:c r="R21" s="73" t="n">
        <x:v>9200</x:v>
      </x:c>
      <x:c r="S21" s="73" t="str">
        <x:v>9,200.0000万元</x:v>
      </x:c>
      <x:c r="T21" s="73" t="str">
        <x:v>DISCLOSED_COMPLETE</x:v>
      </x:c>
      <x:c r="U21" s="73" t="str">
        <x:v>DISCLOSED</x:v>
      </x:c>
      <x:c r="V21" s="73" t="str">
        <x:v>CNY</x:v>
      </x:c>
      <x:c r="W21" s="73" t="str">
        <x:v>万元</x:v>
      </x:c>
      <x:c r="X21" s="73" t="str">
        <x:v>万元人民币</x:v>
      </x:c>
      <x:c r="Y21" s="30" t="str">
        <x:v>EVD-688726-0016</x:v>
      </x:c>
      <x:c r="Z21" s="30" t="str">
        <x:v>STANDARDIZED_RECORD</x:v>
      </x:c>
      <x:c r="AA21" s="30" t="str">
        <x:v>FINAL_APPROVED</x:v>
      </x:c>
    </x:row>
    <x:row r="22">
      <x:c r="A22" s="30" t="str">
        <x:v>EVT-688726-0017</x:v>
      </x:c>
      <x:c r="B22" s="30" t="str">
        <x:v>688726</x:v>
      </x:c>
      <x:c r="C22" s="30" t="str">
        <x:v>EVT-688726-0017</x:v>
      </x:c>
      <x:c r="D22" s="30" t="n">
        <x:v>18</x:v>
      </x:c>
      <x:c r="E22" s="30" t="str">
        <x:v>2022-11</x:v>
      </x:c>
      <x:c r="F22" s="30" t="str">
        <x:v>2022-11</x:v>
      </x:c>
      <x:c r="G22" s="30" t="str">
        <x:v>MONTH</x:v>
      </x:c>
      <x:c r="H22" s="30" t="str">
        <x:v>EQUITY_TRANSFER</x:v>
      </x:c>
      <x:c r="I22" s="30" t="str">
        <x:v>EQUITY_TRANSFER</x:v>
      </x:c>
      <x:c r="J22" s="70" t="b">
        <x:v>0</x:v>
      </x:c>
      <x:c r="K22" s="70" t="b">
        <x:v>0</x:v>
      </x:c>
      <x:c r="L22" s="30" t="str">
        <x:v>OUT_OF_SCOPE_EVENT_TYPE:EQUITY_TRANSFER</x:v>
      </x:c>
      <x:c r="M22" s="30" t="str">
        <x:v>WEEK7_WEEK8_UNIFIED_CALIBER_EXTENSION_BOUNDARY_TEST</x:v>
      </x:c>
      <x:c r="N22" s="73"/>
      <x:c r="O22" s="73" t="str">
        <x:v>NOT_APPLICABLE</x:v>
      </x:c>
      <x:c r="P22" s="73"/>
      <x:c r="Q22" s="73" t="str">
        <x:v>NOT_APPLICABLE</x:v>
      </x:c>
      <x:c r="R22" s="73"/>
      <x:c r="S22" s="73"/>
      <x:c r="T22" s="73" t="str">
        <x:v>NOT_APPLICABLE</x:v>
      </x:c>
      <x:c r="U22" s="73"/>
      <x:c r="V22" s="73"/>
      <x:c r="W22" s="73"/>
      <x:c r="X22" s="73"/>
      <x:c r="Y22" s="30" t="str">
        <x:v>EVD-688726-0017</x:v>
      </x:c>
      <x:c r="Z22" s="30" t="str">
        <x:v>STANDARDIZED_RECORD</x:v>
      </x:c>
      <x:c r="AA22" s="30" t="str">
        <x:v>FINAL_APPROVED</x:v>
      </x:c>
    </x:row>
    <x:row r="23">
      <x:c r="A23" s="30" t="str">
        <x:v>EVT-688726-OC</x:v>
      </x:c>
      <x:c r="B23" s="30" t="str">
        <x:v>688726</x:v>
      </x:c>
      <x:c r="C23" s="30" t="str">
        <x:v>EVT-688726-OC</x:v>
      </x:c>
      <x:c r="D23" s="30" t="n">
        <x:v>19</x:v>
      </x:c>
      <x:c r="E23" s="30" t="str">
        <x:v>2022-11</x:v>
      </x:c>
      <x:c r="F23" s="30" t="str">
        <x:v>2022-11</x:v>
      </x:c>
      <x:c r="G23" s="30" t="str">
        <x:v>MONTH</x:v>
      </x:c>
      <x:c r="H23" s="30" t="str">
        <x:v>OVERALL_CHANGE</x:v>
      </x:c>
      <x:c r="I23" s="30" t="str">
        <x:v>OVERALL_CHANGE</x:v>
      </x:c>
      <x:c r="J23" s="70" t="b">
        <x:v>0</x:v>
      </x:c>
      <x:c r="K23" s="70" t="b">
        <x:v>0</x:v>
      </x:c>
      <x:c r="L23" s="30" t="str">
        <x:v>OUT_OF_SCOPE_EVENT_TYPE:OVERALL_CHANGE</x:v>
      </x:c>
      <x:c r="M23" s="30" t="str">
        <x:v>WEEK7_WEEK8_UNIFIED_CALIBER_EXTENSION_BOUNDARY_TEST</x:v>
      </x:c>
      <x:c r="N23" s="73" t="n">
        <x:v>1518.159</x:v>
      </x:c>
      <x:c r="O23" s="73" t="str">
        <x:v>DISCLOSED_COMPLETE</x:v>
      </x:c>
      <x:c r="P23" s="73" t="n">
        <x:v>1518.159</x:v>
      </x:c>
      <x:c r="Q23" s="73" t="str">
        <x:v>DISCLOSED_COMPLETE</x:v>
      </x:c>
      <x:c r="R23" s="73"/>
      <x:c r="S23" s="73"/>
      <x:c r="T23" s="73" t="str">
        <x:v>NOT_APPLICABLE</x:v>
      </x:c>
      <x:c r="U23" s="73"/>
      <x:c r="V23" s="73"/>
      <x:c r="W23" s="73"/>
      <x:c r="X23" s="73"/>
      <x:c r="Y23" s="30" t="str">
        <x:v>EVD-688726-0098</x:v>
      </x:c>
      <x:c r="Z23" s="30" t="str">
        <x:v>STANDARDIZED_RECORD</x:v>
      </x:c>
      <x:c r="AA23" s="30" t="str">
        <x:v>FINAL_APPROVED</x:v>
      </x:c>
    </x:row>
    <x:row r="24">
      <x:c r="A24" s="30" t="str">
        <x:v>EVT-688726-0018</x:v>
      </x:c>
      <x:c r="B24" s="30" t="str">
        <x:v>688726</x:v>
      </x:c>
      <x:c r="C24" s="30" t="str">
        <x:v>EVT-688726-0018</x:v>
      </x:c>
      <x:c r="D24" s="30" t="n">
        <x:v>20</x:v>
      </x:c>
      <x:c r="E24" s="30" t="str">
        <x:v>2022-12</x:v>
      </x:c>
      <x:c r="F24" s="30" t="str">
        <x:v>2022-12</x:v>
      </x:c>
      <x:c r="G24" s="30" t="str">
        <x:v>MONTH</x:v>
      </x:c>
      <x:c r="H24" s="30" t="str">
        <x:v>CAPITAL_INCREASE</x:v>
      </x:c>
      <x:c r="I24" s="30" t="str">
        <x:v>CAPITAL_INCREASE</x:v>
      </x:c>
      <x:c r="J24" s="70" t="b">
        <x:v>1</x:v>
      </x:c>
      <x:c r="K24" s="70" t="b">
        <x:v>1</x:v>
      </x:c>
      <x:c r="L24" s="30"/>
      <x:c r="M24" s="30" t="str">
        <x:v>WEEK7_WEEK8_UNIFIED_CALIBER_EXTENSION_BOUNDARY_TEST</x:v>
      </x:c>
      <x:c r="N24" s="73" t="n">
        <x:v>1518.159</x:v>
      </x:c>
      <x:c r="O24" s="73" t="str">
        <x:v>DISCLOSED_COMPLETE</x:v>
      </x:c>
      <x:c r="P24" s="73" t="n">
        <x:v>1665.4205</x:v>
      </x:c>
      <x:c r="Q24" s="73" t="str">
        <x:v>DISCLOSED_COMPLETE</x:v>
      </x:c>
      <x:c r="R24" s="73" t="n">
        <x:v>67900</x:v>
      </x:c>
      <x:c r="S24" s="73" t="str">
        <x:v>67,900.0000万元</x:v>
      </x:c>
      <x:c r="T24" s="73" t="str">
        <x:v>DISCLOSED_COMPLETE</x:v>
      </x:c>
      <x:c r="U24" s="73" t="str">
        <x:v>CALCULATED</x:v>
      </x:c>
      <x:c r="V24" s="73" t="str">
        <x:v>CNY</x:v>
      </x:c>
      <x:c r="W24" s="73" t="str">
        <x:v>万元</x:v>
      </x:c>
      <x:c r="X24" s="73" t="str">
        <x:v>万元人民币</x:v>
      </x:c>
      <x:c r="Y24" s="30" t="str">
        <x:v>EVD-688726-0018</x:v>
      </x:c>
      <x:c r="Z24" s="30" t="str">
        <x:v>STANDARDIZED_RECORD</x:v>
      </x:c>
      <x:c r="AA24" s="30" t="str">
        <x:v>FINAL_APPROVED</x:v>
      </x:c>
    </x:row>
    <x:row r="25">
      <x:c r="A25" s="30" t="str">
        <x:v>EVT-688726-0019</x:v>
      </x:c>
      <x:c r="B25" s="30" t="str">
        <x:v>688726</x:v>
      </x:c>
      <x:c r="C25" s="30" t="str">
        <x:v>EVT-688726-0019</x:v>
      </x:c>
      <x:c r="D25" s="30" t="n">
        <x:v>21</x:v>
      </x:c>
      <x:c r="E25" s="30" t="str">
        <x:v>2022-12</x:v>
      </x:c>
      <x:c r="F25" s="30" t="str">
        <x:v>2022-12</x:v>
      </x:c>
      <x:c r="G25" s="30" t="str">
        <x:v>MONTH</x:v>
      </x:c>
      <x:c r="H25" s="30" t="str">
        <x:v>CAPITAL_RESERVE_TRANSFER</x:v>
      </x:c>
      <x:c r="I25" s="30" t="str">
        <x:v>SHARE_CAPITAL_CHANGE</x:v>
      </x:c>
      <x:c r="J25" s="70" t="b">
        <x:v>0</x:v>
      </x:c>
      <x:c r="K25" s="70" t="b">
        <x:v>0</x:v>
      </x:c>
      <x:c r="L25" s="30" t="str">
        <x:v>OUT_OF_SCOPE_EVENT_TYPE:SHARE_CAPITAL_CHANGE</x:v>
      </x:c>
      <x:c r="M25" s="30" t="str">
        <x:v>WEEK7_WEEK8_UNIFIED_CALIBER_EXTENSION_BOUNDARY_TEST</x:v>
      </x:c>
      <x:c r="N25" s="73" t="n">
        <x:v>1665.4205</x:v>
      </x:c>
      <x:c r="O25" s="73" t="str">
        <x:v>DISCLOSED_COMPLETE</x:v>
      </x:c>
      <x:c r="P25" s="73" t="n">
        <x:v>36000</x:v>
      </x:c>
      <x:c r="Q25" s="73" t="str">
        <x:v>DISCLOSED_COMPLETE</x:v>
      </x:c>
      <x:c r="R25" s="73"/>
      <x:c r="S25" s="73"/>
      <x:c r="T25" s="73" t="str">
        <x:v>NOT_APPLICABLE</x:v>
      </x:c>
      <x:c r="U25" s="73"/>
      <x:c r="V25" s="73"/>
      <x:c r="W25" s="73"/>
      <x:c r="X25" s="73"/>
      <x:c r="Y25" s="30" t="str">
        <x:v>EVD-688726-0019</x:v>
      </x:c>
      <x:c r="Z25" s="30" t="str">
        <x:v>STANDARDIZED_RECORD</x:v>
      </x:c>
      <x:c r="AA25" s="30" t="str">
        <x:v>FINAL_APPROVED</x:v>
      </x:c>
    </x:row>
    <x:row r="26">
      <x:c r="A26" s="31" t="str">
        <x:v>EVT-688726-0020</x:v>
      </x:c>
      <x:c r="B26" s="31" t="str">
        <x:v>688726</x:v>
      </x:c>
      <x:c r="C26" s="31" t="str">
        <x:v>EVT-688726-0020</x:v>
      </x:c>
      <x:c r="D26" s="31" t="n">
        <x:v>22</x:v>
      </x:c>
      <x:c r="E26" s="31" t="str">
        <x:v>2022-12</x:v>
      </x:c>
      <x:c r="F26" s="31" t="str">
        <x:v>2022-12</x:v>
      </x:c>
      <x:c r="G26" s="31" t="str">
        <x:v>MONTH</x:v>
      </x:c>
      <x:c r="H26" s="31" t="str">
        <x:v>CAPITAL_INCREASE</x:v>
      </x:c>
      <x:c r="I26" s="31" t="str">
        <x:v>CAPITAL_INCREASE</x:v>
      </x:c>
      <x:c r="J26" s="71" t="b">
        <x:v>1</x:v>
      </x:c>
      <x:c r="K26" s="71" t="b">
        <x:v>1</x:v>
      </x:c>
      <x:c r="L26" s="31"/>
      <x:c r="M26" s="31" t="str">
        <x:v>WEEK7_WEEK8_UNIFIED_CALIBER_EXTENSION_BOUNDARY_TEST</x:v>
      </x:c>
      <x:c r="N26" s="74" t="n">
        <x:v>36000</x:v>
      </x:c>
      <x:c r="O26" s="74" t="str">
        <x:v>DISCLOSED_COMPLETE</x:v>
      </x:c>
      <x:c r="P26" s="74" t="n">
        <x:v>36479.357</x:v>
      </x:c>
      <x:c r="Q26" s="74" t="str">
        <x:v>DISCLOSED_COMPLETE</x:v>
      </x:c>
      <x:c r="R26" s="74" t="n">
        <x:v>3987</x:v>
      </x:c>
      <x:c r="S26" s="74" t="str">
        <x:v>3,987.0000万元</x:v>
      </x:c>
      <x:c r="T26" s="74" t="str">
        <x:v>DISCLOSED_COMPLETE</x:v>
      </x:c>
      <x:c r="U26" s="74" t="str">
        <x:v>DISCLOSED</x:v>
      </x:c>
      <x:c r="V26" s="74" t="str">
        <x:v>CNY</x:v>
      </x:c>
      <x:c r="W26" s="74" t="str">
        <x:v>万元</x:v>
      </x:c>
      <x:c r="X26" s="74" t="str">
        <x:v>万元人民币</x:v>
      </x:c>
      <x:c r="Y26" s="31" t="str">
        <x:v>EVD-688726-0020</x:v>
      </x:c>
      <x:c r="Z26" s="31" t="str">
        <x:v>STANDARDIZED_RECORD</x:v>
      </x:c>
      <x:c r="AA26" s="31" t="str">
        <x:v>FINAL_APPROVED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24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4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48" hidden="0" customWidth="1"/>
    <x:col min="25" max="25" width="48" hidden="0" customWidth="1"/>
    <x:col min="26" max="26" width="24" hidden="0" customWidth="1"/>
    <x:col min="27" max="27" width="24" hidden="0" customWidth="1"/>
  </x:cols>
  <x:sheetData>
    <x:row r="1" ht="30" customHeight="1">
      <x:c r="A1" s="3" t="str">
        <x:v>transactions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  <x:c r="AA3" s="78"/>
    </x:row>
    <x:row r="4" ht="30" customHeight="1">
      <x:c r="A4" s="19" t="str">
        <x:v>transaction_id</x:v>
      </x:c>
      <x:c r="B4" s="20" t="str">
        <x:v>event_id</x:v>
      </x:c>
      <x:c r="C4" s="20" t="str">
        <x:v>transaction_type_source</x:v>
      </x:c>
      <x:c r="D4" s="20" t="str">
        <x:v>transaction_type_standardized</x:v>
      </x:c>
      <x:c r="E4" s="20" t="str">
        <x:v>transaction_date_original</x:v>
      </x:c>
      <x:c r="F4" s="20" t="str">
        <x:v>transaction_date_standardized</x:v>
      </x:c>
      <x:c r="G4" s="20" t="str">
        <x:v>date_role</x:v>
      </x:c>
      <x:c r="H4" s="20" t="str">
        <x:v>shares_or_capital_acquired</x:v>
      </x:c>
      <x:c r="I4" s="20" t="str">
        <x:v>quantity_status</x:v>
      </x:c>
      <x:c r="J4" s="20" t="str">
        <x:v>quantity_unit</x:v>
      </x:c>
      <x:c r="K4" s="20" t="str">
        <x:v>ownership_before</x:v>
      </x:c>
      <x:c r="L4" s="20" t="str">
        <x:v>ownership_before_status</x:v>
      </x:c>
      <x:c r="M4" s="20" t="str">
        <x:v>ownership_after</x:v>
      </x:c>
      <x:c r="N4" s="20" t="str">
        <x:v>ownership_after_status</x:v>
      </x:c>
      <x:c r="O4" s="20" t="str">
        <x:v>transaction_amount_10k_cny</x:v>
      </x:c>
      <x:c r="P4" s="20" t="str">
        <x:v>transaction_amount_original_text</x:v>
      </x:c>
      <x:c r="Q4" s="20" t="str">
        <x:v>transaction_amount_original_currency</x:v>
      </x:c>
      <x:c r="R4" s="20" t="str">
        <x:v>transaction_amount_original_unit</x:v>
      </x:c>
      <x:c r="S4" s="20" t="str">
        <x:v>transaction_amount_status</x:v>
      </x:c>
      <x:c r="T4" s="20" t="str">
        <x:v>price_per_share_or_capital</x:v>
      </x:c>
      <x:c r="U4" s="20" t="str">
        <x:v>price_status</x:v>
      </x:c>
      <x:c r="V4" s="20" t="str">
        <x:v>entry_method</x:v>
      </x:c>
      <x:c r="W4" s="20" t="str">
        <x:v>amount_source_type</x:v>
      </x:c>
      <x:c r="X4" s="20" t="str">
        <x:v>calculation_formula</x:v>
      </x:c>
      <x:c r="Y4" s="20" t="str">
        <x:v>calculation_inputs</x:v>
      </x:c>
      <x:c r="Z4" s="20" t="str">
        <x:v>primary_evidence_id</x:v>
      </x:c>
      <x:c r="AA4" s="21" t="str">
        <x:v>review_status</x:v>
      </x:c>
    </x:row>
    <x:row r="5">
      <x:c r="A5" s="29" t="str">
        <x:v>TRX-688726-0001</x:v>
      </x:c>
      <x:c r="B5" s="29" t="str">
        <x:v>EVT-688726-EST</x:v>
      </x:c>
      <x:c r="C5" s="29" t="str">
        <x:v>ESTABLISHMENT</x:v>
      </x:c>
      <x:c r="D5" s="29" t="str">
        <x:v>ESTABLISHMENT</x:v>
      </x:c>
      <x:c r="E5" s="29" t="str">
        <x:v>2016-05</x:v>
      </x:c>
      <x:c r="F5" s="29" t="str">
        <x:v>2016-05</x:v>
      </x:c>
      <x:c r="G5" s="29" t="str">
        <x:v>RESOLUTION</x:v>
      </x:c>
      <x:c r="H5" s="72"/>
      <x:c r="I5" s="72" t="str">
        <x:v>NOT_APPLICABLE</x:v>
      </x:c>
      <x:c r="J5" s="72"/>
      <x:c r="K5" s="75"/>
      <x:c r="L5" s="75" t="str">
        <x:v>NOT_APPLICABLE</x:v>
      </x:c>
      <x:c r="M5" s="75"/>
      <x:c r="N5" s="75" t="str">
        <x:v>NOT_APPLICABLE</x:v>
      </x:c>
      <x:c r="O5" s="72"/>
      <x:c r="P5" s="72"/>
      <x:c r="Q5" s="72"/>
      <x:c r="R5" s="72"/>
      <x:c r="S5" s="72" t="str">
        <x:v>NOT_APPLICABLE</x:v>
      </x:c>
      <x:c r="T5" s="72"/>
      <x:c r="U5" s="72" t="str">
        <x:v>NOT_DISCLOSED</x:v>
      </x:c>
      <x:c r="V5" s="29" t="str">
        <x:v>ESTABLISHMENT_ENTRY</x:v>
      </x:c>
      <x:c r="W5" s="72"/>
      <x:c r="X5" s="29"/>
      <x:c r="Y5" s="29"/>
      <x:c r="Z5" s="29" t="str">
        <x:v>EVD-688726-0000</x:v>
      </x:c>
      <x:c r="AA5" s="29" t="str">
        <x:v>FINAL_APPROVED</x:v>
      </x:c>
    </x:row>
    <x:row r="6">
      <x:c r="A6" s="30" t="str">
        <x:v>TRX-688726-0002</x:v>
      </x:c>
      <x:c r="B6" s="30" t="str">
        <x:v>EVT-688726-0001</x:v>
      </x:c>
      <x:c r="C6" s="30" t="str">
        <x:v>CAPITAL_INCREASE</x:v>
      </x:c>
      <x:c r="D6" s="30" t="str">
        <x:v>CAPITAL_INCREASE</x:v>
      </x:c>
      <x:c r="E6" s="30" t="str">
        <x:v>2020-04</x:v>
      </x:c>
      <x:c r="F6" s="30" t="str">
        <x:v>2020-04</x:v>
      </x:c>
      <x:c r="G6" s="30" t="str">
        <x:v>RESOLUTION</x:v>
      </x:c>
      <x:c r="H6" s="73" t="n">
        <x:v>284.6894</x:v>
      </x:c>
      <x:c r="I6" s="73" t="str">
        <x:v>DISCLOSED_COMPLETE</x:v>
      </x:c>
      <x:c r="J6" s="73" t="str">
        <x:v>10K_CNY_REGISTERED_CAPITAL</x:v>
      </x:c>
      <x:c r="K6" s="76"/>
      <x:c r="L6" s="76" t="str">
        <x:v>NOT_APPLICABLE</x:v>
      </x:c>
      <x:c r="M6" s="76"/>
      <x:c r="N6" s="76" t="str">
        <x:v>NOT_APPLICABLE</x:v>
      </x:c>
      <x:c r="O6" s="73" t="n">
        <x:v>5000</x:v>
      </x:c>
      <x:c r="P6" s="73" t="str">
        <x:v>5,000.0000万元</x:v>
      </x:c>
      <x:c r="Q6" s="73" t="str">
        <x:v>CNY</x:v>
      </x:c>
      <x:c r="R6" s="73" t="str">
        <x:v>万元</x:v>
      </x:c>
      <x:c r="S6" s="73" t="str">
        <x:v>DISCLOSED_COMPLETE</x:v>
      </x:c>
      <x:c r="T6" s="73"/>
      <x:c r="U6" s="73" t="str">
        <x:v>NOT_DISCLOSED</x:v>
      </x:c>
      <x:c r="V6" s="30" t="str">
        <x:v>CAPITAL_INCREASE_ENTRY</x:v>
      </x:c>
      <x:c r="W6" s="73" t="str">
        <x:v>DISCLOSED</x:v>
      </x:c>
      <x:c r="X6" s="30"/>
      <x:c r="Y6" s="30"/>
      <x:c r="Z6" s="30" t="str">
        <x:v>EVD-688726-0001</x:v>
      </x:c>
      <x:c r="AA6" s="30" t="str">
        <x:v>FINAL_APPROVED</x:v>
      </x:c>
    </x:row>
    <x:row r="7">
      <x:c r="A7" s="30" t="str">
        <x:v>TRX-688726-0003</x:v>
      </x:c>
      <x:c r="B7" s="30" t="str">
        <x:v>EVT-688726-0002</x:v>
      </x:c>
      <x:c r="C7" s="30" t="str">
        <x:v>EQUITY_TRANSFER</x:v>
      </x:c>
      <x:c r="D7" s="30" t="str">
        <x:v>EQUITY_TRANSFER</x:v>
      </x:c>
      <x:c r="E7" s="30" t="str">
        <x:v>2020-10</x:v>
      </x:c>
      <x:c r="F7" s="30" t="str">
        <x:v>2020-10</x:v>
      </x:c>
      <x:c r="G7" s="30" t="str">
        <x:v>COMPLETION</x:v>
      </x:c>
      <x:c r="H7" s="73"/>
      <x:c r="I7" s="73" t="str">
        <x:v>NOT_APPLICABLE</x:v>
      </x:c>
      <x:c r="J7" s="73"/>
      <x:c r="K7" s="76"/>
      <x:c r="L7" s="76" t="str">
        <x:v>NOT_APPLICABLE</x:v>
      </x:c>
      <x:c r="M7" s="76" t="n">
        <x:v>0.0162</x:v>
      </x:c>
      <x:c r="N7" s="76" t="str">
        <x:v>DISCLOSED_COMPLETE</x:v>
      </x:c>
      <x:c r="O7" s="73" t="n">
        <x:v>500</x:v>
      </x:c>
      <x:c r="P7" s="73" t="str">
        <x:v>500.0000万元</x:v>
      </x:c>
      <x:c r="Q7" s="73" t="str">
        <x:v>CNY</x:v>
      </x:c>
      <x:c r="R7" s="73" t="str">
        <x:v>万元</x:v>
      </x:c>
      <x:c r="S7" s="73" t="str">
        <x:v>DISCLOSED_COMPLETE</x:v>
      </x:c>
      <x:c r="T7" s="73"/>
      <x:c r="U7" s="73" t="str">
        <x:v>NOT_DISCLOSED</x:v>
      </x:c>
      <x:c r="V7" s="30" t="str">
        <x:v>TRANSFER_ENTRY</x:v>
      </x:c>
      <x:c r="W7" s="73" t="str">
        <x:v>DISCLOSED</x:v>
      </x:c>
      <x:c r="X7" s="30"/>
      <x:c r="Y7" s="30"/>
      <x:c r="Z7" s="30" t="str">
        <x:v>EVD-688726-0002</x:v>
      </x:c>
      <x:c r="AA7" s="30" t="str">
        <x:v>FINAL_APPROVED</x:v>
      </x:c>
    </x:row>
    <x:row r="8">
      <x:c r="A8" s="30" t="str">
        <x:v>TRX-688726-0004</x:v>
      </x:c>
      <x:c r="B8" s="30" t="str">
        <x:v>EVT-688726-0003</x:v>
      </x:c>
      <x:c r="C8" s="30" t="str">
        <x:v>CAPITAL_INCREASE</x:v>
      </x:c>
      <x:c r="D8" s="30" t="str">
        <x:v>CAPITAL_INCREASE</x:v>
      </x:c>
      <x:c r="E8" s="30" t="str">
        <x:v>2020-11</x:v>
      </x:c>
      <x:c r="F8" s="30" t="str">
        <x:v>2020-11</x:v>
      </x:c>
      <x:c r="G8" s="30" t="str">
        <x:v>RESOLUTION</x:v>
      </x:c>
      <x:c r="H8" s="73" t="n">
        <x:v>178.9479</x:v>
      </x:c>
      <x:c r="I8" s="73" t="str">
        <x:v>DISCLOSED_COMPLETE</x:v>
      </x:c>
      <x:c r="J8" s="73" t="str">
        <x:v>10K_CNY_REGISTERED_CAPITAL</x:v>
      </x:c>
      <x:c r="K8" s="76"/>
      <x:c r="L8" s="76" t="str">
        <x:v>NOT_APPLICABLE</x:v>
      </x:c>
      <x:c r="M8" s="76"/>
      <x:c r="N8" s="76" t="str">
        <x:v>NOT_APPLICABLE</x:v>
      </x:c>
      <x:c r="O8" s="73" t="n">
        <x:v>5500</x:v>
      </x:c>
      <x:c r="P8" s="73" t="str">
        <x:v>5,500.0000万元</x:v>
      </x:c>
      <x:c r="Q8" s="73" t="str">
        <x:v>CNY</x:v>
      </x:c>
      <x:c r="R8" s="73" t="str">
        <x:v>万元</x:v>
      </x:c>
      <x:c r="S8" s="73" t="str">
        <x:v>DISCLOSED_COMPLETE</x:v>
      </x:c>
      <x:c r="T8" s="73"/>
      <x:c r="U8" s="73" t="str">
        <x:v>NOT_DISCLOSED</x:v>
      </x:c>
      <x:c r="V8" s="30" t="str">
        <x:v>CAPITAL_INCREASE_ENTRY</x:v>
      </x:c>
      <x:c r="W8" s="73" t="str">
        <x:v>CALCULATED</x:v>
      </x:c>
      <x:c r="X8" s="30"/>
      <x:c r="Y8" s="30"/>
      <x:c r="Z8" s="30" t="str">
        <x:v>EVD-688726-0003</x:v>
      </x:c>
      <x:c r="AA8" s="30" t="str">
        <x:v>FINAL_APPROVED</x:v>
      </x:c>
    </x:row>
    <x:row r="9">
      <x:c r="A9" s="30" t="str">
        <x:v>TRX-688726-0005</x:v>
      </x:c>
      <x:c r="B9" s="30" t="str">
        <x:v>EVT-688726-0004</x:v>
      </x:c>
      <x:c r="C9" s="30" t="str">
        <x:v>CAPITAL_INCREASE</x:v>
      </x:c>
      <x:c r="D9" s="30" t="str">
        <x:v>CAPITAL_INCREASE</x:v>
      </x:c>
      <x:c r="E9" s="30" t="str">
        <x:v>2020-12</x:v>
      </x:c>
      <x:c r="F9" s="30" t="str">
        <x:v>2020-12</x:v>
      </x:c>
      <x:c r="G9" s="30" t="str">
        <x:v>RESOLUTION</x:v>
      </x:c>
      <x:c r="H9" s="73" t="n">
        <x:v>110.2607</x:v>
      </x:c>
      <x:c r="I9" s="73" t="str">
        <x:v>DISCLOSED_COMPLETE</x:v>
      </x:c>
      <x:c r="J9" s="73" t="str">
        <x:v>10K_CNY_REGISTERED_CAPITAL</x:v>
      </x:c>
      <x:c r="K9" s="76"/>
      <x:c r="L9" s="76" t="str">
        <x:v>NOT_APPLICABLE</x:v>
      </x:c>
      <x:c r="M9" s="76"/>
      <x:c r="N9" s="76" t="str">
        <x:v>NOT_APPLICABLE</x:v>
      </x:c>
      <x:c r="O9" s="73" t="n">
        <x:v>1355.1046000000001</x:v>
      </x:c>
      <x:c r="P9" s="73" t="str">
        <x:v>1,355.1046万元</x:v>
      </x:c>
      <x:c r="Q9" s="73" t="str">
        <x:v>CNY</x:v>
      </x:c>
      <x:c r="R9" s="73" t="str">
        <x:v>万元</x:v>
      </x:c>
      <x:c r="S9" s="73" t="str">
        <x:v>DISCLOSED_COMPLETE</x:v>
      </x:c>
      <x:c r="T9" s="73"/>
      <x:c r="U9" s="73" t="str">
        <x:v>NOT_DISCLOSED</x:v>
      </x:c>
      <x:c r="V9" s="30" t="str">
        <x:v>CAPITAL_INCREASE_ENTRY</x:v>
      </x:c>
      <x:c r="W9" s="73" t="str">
        <x:v>CALCULATED</x:v>
      </x:c>
      <x:c r="X9" s="30"/>
      <x:c r="Y9" s="30"/>
      <x:c r="Z9" s="30" t="str">
        <x:v>EVD-688726-0004</x:v>
      </x:c>
      <x:c r="AA9" s="30" t="str">
        <x:v>FINAL_APPROVED</x:v>
      </x:c>
    </x:row>
    <x:row r="10">
      <x:c r="A10" s="30" t="str">
        <x:v>TRX-688726-0006</x:v>
      </x:c>
      <x:c r="B10" s="30" t="str">
        <x:v>EVT-688726-0005</x:v>
      </x:c>
      <x:c r="C10" s="30" t="str">
        <x:v>EQUITY_TRANSFER</x:v>
      </x:c>
      <x:c r="D10" s="30" t="str">
        <x:v>EQUITY_TRANSFER</x:v>
      </x:c>
      <x:c r="E10" s="30" t="str">
        <x:v>2021-06</x:v>
      </x:c>
      <x:c r="F10" s="30" t="str">
        <x:v>2021-06</x:v>
      </x:c>
      <x:c r="G10" s="30" t="str">
        <x:v>COMPLETION</x:v>
      </x:c>
      <x:c r="H10" s="73"/>
      <x:c r="I10" s="73" t="str">
        <x:v>NOT_APPLICABLE</x:v>
      </x:c>
      <x:c r="J10" s="73"/>
      <x:c r="K10" s="76"/>
      <x:c r="L10" s="76" t="str">
        <x:v>NOT_APPLICABLE</x:v>
      </x:c>
      <x:c r="M10" s="76" t="n">
        <x:v>0.0071</x:v>
      </x:c>
      <x:c r="N10" s="76" t="str">
        <x:v>DISCLOSED_COMPLETE</x:v>
      </x:c>
      <x:c r="O10" s="73" t="n">
        <x:v>240</x:v>
      </x:c>
      <x:c r="P10" s="73" t="str">
        <x:v>240.0000万元</x:v>
      </x:c>
      <x:c r="Q10" s="73" t="str">
        <x:v>CNY</x:v>
      </x:c>
      <x:c r="R10" s="73" t="str">
        <x:v>万元</x:v>
      </x:c>
      <x:c r="S10" s="73" t="str">
        <x:v>DISCLOSED_COMPLETE</x:v>
      </x:c>
      <x:c r="T10" s="73"/>
      <x:c r="U10" s="73" t="str">
        <x:v>NOT_DISCLOSED</x:v>
      </x:c>
      <x:c r="V10" s="30" t="str">
        <x:v>TRANSFER_ENTRY</x:v>
      </x:c>
      <x:c r="W10" s="73" t="str">
        <x:v>DISCLOSED</x:v>
      </x:c>
      <x:c r="X10" s="30"/>
      <x:c r="Y10" s="30"/>
      <x:c r="Z10" s="30" t="str">
        <x:v>EVD-688726-0005</x:v>
      </x:c>
      <x:c r="AA10" s="30" t="str">
        <x:v>FINAL_APPROVED</x:v>
      </x:c>
    </x:row>
    <x:row r="11">
      <x:c r="A11" s="30" t="str">
        <x:v>TRX-688726-0007</x:v>
      </x:c>
      <x:c r="B11" s="30" t="str">
        <x:v>EVT-688726-0005</x:v>
      </x:c>
      <x:c r="C11" s="30" t="str">
        <x:v>EQUITY_TRANSFER</x:v>
      </x:c>
      <x:c r="D11" s="30" t="str">
        <x:v>EQUITY_TRANSFER</x:v>
      </x:c>
      <x:c r="E11" s="30" t="str">
        <x:v>2021-06</x:v>
      </x:c>
      <x:c r="F11" s="30" t="str">
        <x:v>2021-06</x:v>
      </x:c>
      <x:c r="G11" s="30" t="str">
        <x:v>COMPLETION</x:v>
      </x:c>
      <x:c r="H11" s="73"/>
      <x:c r="I11" s="73" t="str">
        <x:v>NOT_APPLICABLE</x:v>
      </x:c>
      <x:c r="J11" s="73"/>
      <x:c r="K11" s="76"/>
      <x:c r="L11" s="76" t="str">
        <x:v>NOT_APPLICABLE</x:v>
      </x:c>
      <x:c r="M11" s="76" t="n">
        <x:v>0.004</x:v>
      </x:c>
      <x:c r="N11" s="76" t="str">
        <x:v>DISCLOSED_COMPLETE</x:v>
      </x:c>
      <x:c r="O11" s="73" t="n">
        <x:v>135</x:v>
      </x:c>
      <x:c r="P11" s="73" t="str">
        <x:v>135.0000万元</x:v>
      </x:c>
      <x:c r="Q11" s="73" t="str">
        <x:v>CNY</x:v>
      </x:c>
      <x:c r="R11" s="73" t="str">
        <x:v>万元</x:v>
      </x:c>
      <x:c r="S11" s="73" t="str">
        <x:v>DISCLOSED_COMPLETE</x:v>
      </x:c>
      <x:c r="T11" s="73"/>
      <x:c r="U11" s="73" t="str">
        <x:v>NOT_DISCLOSED</x:v>
      </x:c>
      <x:c r="V11" s="30" t="str">
        <x:v>TRANSFER_ENTRY</x:v>
      </x:c>
      <x:c r="W11" s="73" t="str">
        <x:v>DISCLOSED</x:v>
      </x:c>
      <x:c r="X11" s="30"/>
      <x:c r="Y11" s="30"/>
      <x:c r="Z11" s="30" t="str">
        <x:v>EVD-688726-0005</x:v>
      </x:c>
      <x:c r="AA11" s="30" t="str">
        <x:v>FINAL_APPROVED</x:v>
      </x:c>
    </x:row>
    <x:row r="12">
      <x:c r="A12" s="30" t="str">
        <x:v>TRX-688726-0008</x:v>
      </x:c>
      <x:c r="B12" s="30" t="str">
        <x:v>EVT-688726-0005</x:v>
      </x:c>
      <x:c r="C12" s="30" t="str">
        <x:v>EQUITY_TRANSFER</x:v>
      </x:c>
      <x:c r="D12" s="30" t="str">
        <x:v>EQUITY_TRANSFER</x:v>
      </x:c>
      <x:c r="E12" s="30" t="str">
        <x:v>2021-06</x:v>
      </x:c>
      <x:c r="F12" s="30" t="str">
        <x:v>2021-06</x:v>
      </x:c>
      <x:c r="G12" s="30" t="str">
        <x:v>COMPLETION</x:v>
      </x:c>
      <x:c r="H12" s="73"/>
      <x:c r="I12" s="73" t="str">
        <x:v>NOT_APPLICABLE</x:v>
      </x:c>
      <x:c r="J12" s="73"/>
      <x:c r="K12" s="76"/>
      <x:c r="L12" s="76" t="str">
        <x:v>NOT_APPLICABLE</x:v>
      </x:c>
      <x:c r="M12" s="76" t="n">
        <x:v>0.004</x:v>
      </x:c>
      <x:c r="N12" s="76" t="str">
        <x:v>DISCLOSED_COMPLETE</x:v>
      </x:c>
      <x:c r="O12" s="73" t="n">
        <x:v>135</x:v>
      </x:c>
      <x:c r="P12" s="73" t="str">
        <x:v>135.0000万元</x:v>
      </x:c>
      <x:c r="Q12" s="73" t="str">
        <x:v>CNY</x:v>
      </x:c>
      <x:c r="R12" s="73" t="str">
        <x:v>万元</x:v>
      </x:c>
      <x:c r="S12" s="73" t="str">
        <x:v>DISCLOSED_COMPLETE</x:v>
      </x:c>
      <x:c r="T12" s="73"/>
      <x:c r="U12" s="73" t="str">
        <x:v>NOT_DISCLOSED</x:v>
      </x:c>
      <x:c r="V12" s="30" t="str">
        <x:v>TRANSFER_ENTRY</x:v>
      </x:c>
      <x:c r="W12" s="73" t="str">
        <x:v>DISCLOSED</x:v>
      </x:c>
      <x:c r="X12" s="30"/>
      <x:c r="Y12" s="30"/>
      <x:c r="Z12" s="30" t="str">
        <x:v>EVD-688726-0005</x:v>
      </x:c>
      <x:c r="AA12" s="30" t="str">
        <x:v>FINAL_APPROVED</x:v>
      </x:c>
    </x:row>
    <x:row r="13">
      <x:c r="A13" s="30" t="str">
        <x:v>TRX-688726-0009</x:v>
      </x:c>
      <x:c r="B13" s="30" t="str">
        <x:v>EVT-688726-0005</x:v>
      </x:c>
      <x:c r="C13" s="30" t="str">
        <x:v>EQUITY_TRANSFER</x:v>
      </x:c>
      <x:c r="D13" s="30" t="str">
        <x:v>EQUITY_TRANSFER</x:v>
      </x:c>
      <x:c r="E13" s="30" t="str">
        <x:v>2021-06</x:v>
      </x:c>
      <x:c r="F13" s="30" t="str">
        <x:v>2021-06</x:v>
      </x:c>
      <x:c r="G13" s="30" t="str">
        <x:v>COMPLETION</x:v>
      </x:c>
      <x:c r="H13" s="73"/>
      <x:c r="I13" s="73" t="str">
        <x:v>NOT_APPLICABLE</x:v>
      </x:c>
      <x:c r="J13" s="73"/>
      <x:c r="K13" s="76"/>
      <x:c r="L13" s="76" t="str">
        <x:v>NOT_APPLICABLE</x:v>
      </x:c>
      <x:c r="M13" s="76" t="n">
        <x:v>0.0031</x:v>
      </x:c>
      <x:c r="N13" s="76" t="str">
        <x:v>DISCLOSED_COMPLETE</x:v>
      </x:c>
      <x:c r="O13" s="73" t="n">
        <x:v>105</x:v>
      </x:c>
      <x:c r="P13" s="73" t="str">
        <x:v>105.0000万元</x:v>
      </x:c>
      <x:c r="Q13" s="73" t="str">
        <x:v>CNY</x:v>
      </x:c>
      <x:c r="R13" s="73" t="str">
        <x:v>万元</x:v>
      </x:c>
      <x:c r="S13" s="73" t="str">
        <x:v>DISCLOSED_COMPLETE</x:v>
      </x:c>
      <x:c r="T13" s="73"/>
      <x:c r="U13" s="73" t="str">
        <x:v>NOT_DISCLOSED</x:v>
      </x:c>
      <x:c r="V13" s="30" t="str">
        <x:v>TRANSFER_ENTRY</x:v>
      </x:c>
      <x:c r="W13" s="73" t="str">
        <x:v>DISCLOSED</x:v>
      </x:c>
      <x:c r="X13" s="30"/>
      <x:c r="Y13" s="30"/>
      <x:c r="Z13" s="30" t="str">
        <x:v>EVD-688726-0005</x:v>
      </x:c>
      <x:c r="AA13" s="30" t="str">
        <x:v>FINAL_APPROVED</x:v>
      </x:c>
    </x:row>
    <x:row r="14">
      <x:c r="A14" s="30" t="str">
        <x:v>TRX-688726-0010</x:v>
      </x:c>
      <x:c r="B14" s="30" t="str">
        <x:v>EVT-688726-0005</x:v>
      </x:c>
      <x:c r="C14" s="30" t="str">
        <x:v>EQUITY_TRANSFER</x:v>
      </x:c>
      <x:c r="D14" s="30" t="str">
        <x:v>EQUITY_TRANSFER</x:v>
      </x:c>
      <x:c r="E14" s="30" t="str">
        <x:v>2021-06</x:v>
      </x:c>
      <x:c r="F14" s="30" t="str">
        <x:v>2021-06</x:v>
      </x:c>
      <x:c r="G14" s="30" t="str">
        <x:v>COMPLETION</x:v>
      </x:c>
      <x:c r="H14" s="73"/>
      <x:c r="I14" s="73" t="str">
        <x:v>NOT_APPLICABLE</x:v>
      </x:c>
      <x:c r="J14" s="73"/>
      <x:c r="K14" s="76"/>
      <x:c r="L14" s="76" t="str">
        <x:v>NOT_APPLICABLE</x:v>
      </x:c>
      <x:c r="M14" s="76" t="n">
        <x:v>0.0031</x:v>
      </x:c>
      <x:c r="N14" s="76" t="str">
        <x:v>DISCLOSED_COMPLETE</x:v>
      </x:c>
      <x:c r="O14" s="73" t="n">
        <x:v>105</x:v>
      </x:c>
      <x:c r="P14" s="73" t="str">
        <x:v>105.0000万元</x:v>
      </x:c>
      <x:c r="Q14" s="73" t="str">
        <x:v>CNY</x:v>
      </x:c>
      <x:c r="R14" s="73" t="str">
        <x:v>万元</x:v>
      </x:c>
      <x:c r="S14" s="73" t="str">
        <x:v>DISCLOSED_COMPLETE</x:v>
      </x:c>
      <x:c r="T14" s="73"/>
      <x:c r="U14" s="73" t="str">
        <x:v>NOT_DISCLOSED</x:v>
      </x:c>
      <x:c r="V14" s="30" t="str">
        <x:v>TRANSFER_ENTRY</x:v>
      </x:c>
      <x:c r="W14" s="73" t="str">
        <x:v>DISCLOSED</x:v>
      </x:c>
      <x:c r="X14" s="30"/>
      <x:c r="Y14" s="30"/>
      <x:c r="Z14" s="30" t="str">
        <x:v>EVD-688726-0005</x:v>
      </x:c>
      <x:c r="AA14" s="30" t="str">
        <x:v>FINAL_APPROVED</x:v>
      </x:c>
    </x:row>
    <x:row r="15">
      <x:c r="A15" s="30" t="str">
        <x:v>TRX-688726-0011</x:v>
      </x:c>
      <x:c r="B15" s="30" t="str">
        <x:v>EVT-688726-0005</x:v>
      </x:c>
      <x:c r="C15" s="30" t="str">
        <x:v>EQUITY_TRANSFER</x:v>
      </x:c>
      <x:c r="D15" s="30" t="str">
        <x:v>EQUITY_TRANSFER</x:v>
      </x:c>
      <x:c r="E15" s="30" t="str">
        <x:v>2021-06</x:v>
      </x:c>
      <x:c r="F15" s="30" t="str">
        <x:v>2021-06</x:v>
      </x:c>
      <x:c r="G15" s="30" t="str">
        <x:v>COMPLETION</x:v>
      </x:c>
      <x:c r="H15" s="73"/>
      <x:c r="I15" s="73" t="str">
        <x:v>NOT_APPLICABLE</x:v>
      </x:c>
      <x:c r="J15" s="73"/>
      <x:c r="K15" s="76"/>
      <x:c r="L15" s="76" t="str">
        <x:v>NOT_APPLICABLE</x:v>
      </x:c>
      <x:c r="M15" s="76" t="n">
        <x:v>0.0127</x:v>
      </x:c>
      <x:c r="N15" s="76" t="str">
        <x:v>DISCLOSED_COMPLETE</x:v>
      </x:c>
      <x:c r="O15" s="73" t="n">
        <x:v>432</x:v>
      </x:c>
      <x:c r="P15" s="73" t="str">
        <x:v>432.0000万元</x:v>
      </x:c>
      <x:c r="Q15" s="73" t="str">
        <x:v>CNY</x:v>
      </x:c>
      <x:c r="R15" s="73" t="str">
        <x:v>万元</x:v>
      </x:c>
      <x:c r="S15" s="73" t="str">
        <x:v>DISCLOSED_COMPLETE</x:v>
      </x:c>
      <x:c r="T15" s="73"/>
      <x:c r="U15" s="73" t="str">
        <x:v>NOT_DISCLOSED</x:v>
      </x:c>
      <x:c r="V15" s="30" t="str">
        <x:v>TRANSFER_ENTRY</x:v>
      </x:c>
      <x:c r="W15" s="73" t="str">
        <x:v>DISCLOSED</x:v>
      </x:c>
      <x:c r="X15" s="30"/>
      <x:c r="Y15" s="30"/>
      <x:c r="Z15" s="30" t="str">
        <x:v>EVD-688726-0005</x:v>
      </x:c>
      <x:c r="AA15" s="30" t="str">
        <x:v>FINAL_APPROVED</x:v>
      </x:c>
    </x:row>
    <x:row r="16">
      <x:c r="A16" s="30" t="str">
        <x:v>TRX-688726-0012</x:v>
      </x:c>
      <x:c r="B16" s="30" t="str">
        <x:v>EVT-688726-0006</x:v>
      </x:c>
      <x:c r="C16" s="30" t="str">
        <x:v>CAPITAL_INCREASE</x:v>
      </x:c>
      <x:c r="D16" s="30" t="str">
        <x:v>CAPITAL_INCREASE</x:v>
      </x:c>
      <x:c r="E16" s="30" t="str">
        <x:v>2021-09</x:v>
      </x:c>
      <x:c r="F16" s="30" t="str">
        <x:v>2021-09</x:v>
      </x:c>
      <x:c r="G16" s="30" t="str">
        <x:v>RESOLUTION</x:v>
      </x:c>
      <x:c r="H16" s="73" t="n">
        <x:v>202.1448</x:v>
      </x:c>
      <x:c r="I16" s="73" t="str">
        <x:v>DISCLOSED_COMPLETE</x:v>
      </x:c>
      <x:c r="J16" s="73" t="str">
        <x:v>10K_CNY_REGISTERED_CAPITAL</x:v>
      </x:c>
      <x:c r="K16" s="76"/>
      <x:c r="L16" s="76" t="str">
        <x:v>NOT_APPLICABLE</x:v>
      </x:c>
      <x:c r="M16" s="76"/>
      <x:c r="N16" s="76" t="str">
        <x:v>NOT_APPLICABLE</x:v>
      </x:c>
      <x:c r="O16" s="73" t="n">
        <x:v>33000</x:v>
      </x:c>
      <x:c r="P16" s="73" t="str">
        <x:v>33,000.0000万元</x:v>
      </x:c>
      <x:c r="Q16" s="73" t="str">
        <x:v>CNY</x:v>
      </x:c>
      <x:c r="R16" s="73" t="str">
        <x:v>万元</x:v>
      </x:c>
      <x:c r="S16" s="73" t="str">
        <x:v>DISCLOSED_COMPLETE</x:v>
      </x:c>
      <x:c r="T16" s="73"/>
      <x:c r="U16" s="73" t="str">
        <x:v>NOT_DISCLOSED</x:v>
      </x:c>
      <x:c r="V16" s="30" t="str">
        <x:v>CAPITAL_INCREASE_ENTRY</x:v>
      </x:c>
      <x:c r="W16" s="73" t="str">
        <x:v>CALCULATED</x:v>
      </x:c>
      <x:c r="X16" s="30"/>
      <x:c r="Y16" s="30"/>
      <x:c r="Z16" s="30" t="str">
        <x:v>EVD-688726-0006</x:v>
      </x:c>
      <x:c r="AA16" s="30" t="str">
        <x:v>FINAL_APPROVED</x:v>
      </x:c>
    </x:row>
    <x:row r="17">
      <x:c r="A17" s="30" t="str">
        <x:v>TRX-688726-0013</x:v>
      </x:c>
      <x:c r="B17" s="30" t="str">
        <x:v>EVT-688726-0007</x:v>
      </x:c>
      <x:c r="C17" s="30" t="str">
        <x:v>EQUITY_TRANSFER</x:v>
      </x:c>
      <x:c r="D17" s="30" t="str">
        <x:v>EQUITY_TRANSFER</x:v>
      </x:c>
      <x:c r="E17" s="30" t="str">
        <x:v>2021-10</x:v>
      </x:c>
      <x:c r="F17" s="30" t="str">
        <x:v>2021-10</x:v>
      </x:c>
      <x:c r="G17" s="30" t="str">
        <x:v>COMPLETION</x:v>
      </x:c>
      <x:c r="H17" s="73"/>
      <x:c r="I17" s="73" t="str">
        <x:v>NOT_APPLICABLE</x:v>
      </x:c>
      <x:c r="J17" s="73"/>
      <x:c r="K17" s="76"/>
      <x:c r="L17" s="76" t="str">
        <x:v>NOT_APPLICABLE</x:v>
      </x:c>
      <x:c r="M17" s="76" t="n">
        <x:v>0.0094</x:v>
      </x:c>
      <x:c r="N17" s="76" t="str">
        <x:v>DISCLOSED_COMPLETE</x:v>
      </x:c>
      <x:c r="O17" s="73" t="n">
        <x:v>2000</x:v>
      </x:c>
      <x:c r="P17" s="73" t="str">
        <x:v>2,000.0000万元</x:v>
      </x:c>
      <x:c r="Q17" s="73" t="str">
        <x:v>CNY</x:v>
      </x:c>
      <x:c r="R17" s="73" t="str">
        <x:v>万元</x:v>
      </x:c>
      <x:c r="S17" s="73" t="str">
        <x:v>DISCLOSED_COMPLETE</x:v>
      </x:c>
      <x:c r="T17" s="73"/>
      <x:c r="U17" s="73" t="str">
        <x:v>NOT_DISCLOSED</x:v>
      </x:c>
      <x:c r="V17" s="30" t="str">
        <x:v>TRANSFER_ENTRY</x:v>
      </x:c>
      <x:c r="W17" s="73" t="str">
        <x:v>DISCLOSED</x:v>
      </x:c>
      <x:c r="X17" s="30"/>
      <x:c r="Y17" s="30"/>
      <x:c r="Z17" s="30" t="str">
        <x:v>EVD-688726-0007</x:v>
      </x:c>
      <x:c r="AA17" s="30" t="str">
        <x:v>FINAL_APPROVED</x:v>
      </x:c>
    </x:row>
    <x:row r="18">
      <x:c r="A18" s="30" t="str">
        <x:v>TRX-688726-0014</x:v>
      </x:c>
      <x:c r="B18" s="30" t="str">
        <x:v>EVT-688726-0007</x:v>
      </x:c>
      <x:c r="C18" s="30" t="str">
        <x:v>EQUITY_TRANSFER</x:v>
      </x:c>
      <x:c r="D18" s="30" t="str">
        <x:v>EQUITY_TRANSFER</x:v>
      </x:c>
      <x:c r="E18" s="30" t="str">
        <x:v>2021-10</x:v>
      </x:c>
      <x:c r="F18" s="30" t="str">
        <x:v>2021-10</x:v>
      </x:c>
      <x:c r="G18" s="30" t="str">
        <x:v>COMPLETION</x:v>
      </x:c>
      <x:c r="H18" s="73"/>
      <x:c r="I18" s="73" t="str">
        <x:v>NOT_APPLICABLE</x:v>
      </x:c>
      <x:c r="J18" s="73"/>
      <x:c r="K18" s="76"/>
      <x:c r="L18" s="76" t="str">
        <x:v>NOT_APPLICABLE</x:v>
      </x:c>
      <x:c r="M18" s="76" t="n">
        <x:v>0.0038</x:v>
      </x:c>
      <x:c r="N18" s="76" t="str">
        <x:v>DISCLOSED_COMPLETE</x:v>
      </x:c>
      <x:c r="O18" s="73" t="n">
        <x:v>800</x:v>
      </x:c>
      <x:c r="P18" s="73" t="str">
        <x:v>800.0000万元</x:v>
      </x:c>
      <x:c r="Q18" s="73" t="str">
        <x:v>CNY</x:v>
      </x:c>
      <x:c r="R18" s="73" t="str">
        <x:v>万元</x:v>
      </x:c>
      <x:c r="S18" s="73" t="str">
        <x:v>DISCLOSED_COMPLETE</x:v>
      </x:c>
      <x:c r="T18" s="73"/>
      <x:c r="U18" s="73" t="str">
        <x:v>NOT_DISCLOSED</x:v>
      </x:c>
      <x:c r="V18" s="30" t="str">
        <x:v>TRANSFER_ENTRY</x:v>
      </x:c>
      <x:c r="W18" s="73" t="str">
        <x:v>DISCLOSED</x:v>
      </x:c>
      <x:c r="X18" s="30"/>
      <x:c r="Y18" s="30"/>
      <x:c r="Z18" s="30" t="str">
        <x:v>EVD-688726-0007</x:v>
      </x:c>
      <x:c r="AA18" s="30" t="str">
        <x:v>FINAL_APPROVED</x:v>
      </x:c>
    </x:row>
    <x:row r="19">
      <x:c r="A19" s="30" t="str">
        <x:v>TRX-688726-0015</x:v>
      </x:c>
      <x:c r="B19" s="30" t="str">
        <x:v>EVT-688726-0007</x:v>
      </x:c>
      <x:c r="C19" s="30" t="str">
        <x:v>EQUITY_TRANSFER</x:v>
      </x:c>
      <x:c r="D19" s="30" t="str">
        <x:v>EQUITY_TRANSFER</x:v>
      </x:c>
      <x:c r="E19" s="30" t="str">
        <x:v>2021-10</x:v>
      </x:c>
      <x:c r="F19" s="30" t="str">
        <x:v>2021-10</x:v>
      </x:c>
      <x:c r="G19" s="30" t="str">
        <x:v>COMPLETION</x:v>
      </x:c>
      <x:c r="H19" s="73"/>
      <x:c r="I19" s="73" t="str">
        <x:v>NOT_APPLICABLE</x:v>
      </x:c>
      <x:c r="J19" s="73"/>
      <x:c r="K19" s="76"/>
      <x:c r="L19" s="76" t="str">
        <x:v>NOT_APPLICABLE</x:v>
      </x:c>
      <x:c r="M19" s="76" t="n">
        <x:v>0.0028</x:v>
      </x:c>
      <x:c r="N19" s="76" t="str">
        <x:v>DISCLOSED_COMPLETE</x:v>
      </x:c>
      <x:c r="O19" s="73" t="n">
        <x:v>600</x:v>
      </x:c>
      <x:c r="P19" s="73" t="str">
        <x:v>600.0000万元</x:v>
      </x:c>
      <x:c r="Q19" s="73" t="str">
        <x:v>CNY</x:v>
      </x:c>
      <x:c r="R19" s="73" t="str">
        <x:v>万元</x:v>
      </x:c>
      <x:c r="S19" s="73" t="str">
        <x:v>DISCLOSED_COMPLETE</x:v>
      </x:c>
      <x:c r="T19" s="73"/>
      <x:c r="U19" s="73" t="str">
        <x:v>NOT_DISCLOSED</x:v>
      </x:c>
      <x:c r="V19" s="30" t="str">
        <x:v>TRANSFER_ENTRY</x:v>
      </x:c>
      <x:c r="W19" s="73" t="str">
        <x:v>DISCLOSED</x:v>
      </x:c>
      <x:c r="X19" s="30"/>
      <x:c r="Y19" s="30"/>
      <x:c r="Z19" s="30" t="str">
        <x:v>EVD-688726-0007</x:v>
      </x:c>
      <x:c r="AA19" s="30" t="str">
        <x:v>FINAL_APPROVED</x:v>
      </x:c>
    </x:row>
    <x:row r="20">
      <x:c r="A20" s="30" t="str">
        <x:v>TRX-688726-0016</x:v>
      </x:c>
      <x:c r="B20" s="30" t="str">
        <x:v>EVT-688726-0007</x:v>
      </x:c>
      <x:c r="C20" s="30" t="str">
        <x:v>EQUITY_TRANSFER</x:v>
      </x:c>
      <x:c r="D20" s="30" t="str">
        <x:v>EQUITY_TRANSFER</x:v>
      </x:c>
      <x:c r="E20" s="30" t="str">
        <x:v>2021-10</x:v>
      </x:c>
      <x:c r="F20" s="30" t="str">
        <x:v>2021-10</x:v>
      </x:c>
      <x:c r="G20" s="30" t="str">
        <x:v>COMPLETION</x:v>
      </x:c>
      <x:c r="H20" s="73"/>
      <x:c r="I20" s="73" t="str">
        <x:v>NOT_APPLICABLE</x:v>
      </x:c>
      <x:c r="J20" s="73"/>
      <x:c r="K20" s="76"/>
      <x:c r="L20" s="76" t="str">
        <x:v>NOT_APPLICABLE</x:v>
      </x:c>
      <x:c r="M20" s="76" t="n">
        <x:v>0.0052</x:v>
      </x:c>
      <x:c r="N20" s="76" t="str">
        <x:v>DISCLOSED_COMPLETE</x:v>
      </x:c>
      <x:c r="O20" s="73" t="n">
        <x:v>1100</x:v>
      </x:c>
      <x:c r="P20" s="73" t="str">
        <x:v>1,100.0000万元</x:v>
      </x:c>
      <x:c r="Q20" s="73" t="str">
        <x:v>CNY</x:v>
      </x:c>
      <x:c r="R20" s="73" t="str">
        <x:v>万元</x:v>
      </x:c>
      <x:c r="S20" s="73" t="str">
        <x:v>DISCLOSED_COMPLETE</x:v>
      </x:c>
      <x:c r="T20" s="73"/>
      <x:c r="U20" s="73" t="str">
        <x:v>NOT_DISCLOSED</x:v>
      </x:c>
      <x:c r="V20" s="30" t="str">
        <x:v>TRANSFER_ENTRY</x:v>
      </x:c>
      <x:c r="W20" s="73" t="str">
        <x:v>DISCLOSED</x:v>
      </x:c>
      <x:c r="X20" s="30"/>
      <x:c r="Y20" s="30"/>
      <x:c r="Z20" s="30" t="str">
        <x:v>EVD-688726-0007</x:v>
      </x:c>
      <x:c r="AA20" s="30" t="str">
        <x:v>FINAL_APPROVED</x:v>
      </x:c>
    </x:row>
    <x:row r="21">
      <x:c r="A21" s="30" t="str">
        <x:v>TRX-688726-0017</x:v>
      </x:c>
      <x:c r="B21" s="30" t="str">
        <x:v>EVT-688726-0008</x:v>
      </x:c>
      <x:c r="C21" s="30" t="str">
        <x:v>EQUITY_TRANSFER</x:v>
      </x:c>
      <x:c r="D21" s="30" t="str">
        <x:v>EQUITY_TRANSFER</x:v>
      </x:c>
      <x:c r="E21" s="30" t="str">
        <x:v>2021-12</x:v>
      </x:c>
      <x:c r="F21" s="30" t="str">
        <x:v>2021-12</x:v>
      </x:c>
      <x:c r="G21" s="30" t="str">
        <x:v>COMPLETION</x:v>
      </x:c>
      <x:c r="H21" s="73"/>
      <x:c r="I21" s="73" t="str">
        <x:v>NOT_APPLICABLE</x:v>
      </x:c>
      <x:c r="J21" s="73"/>
      <x:c r="K21" s="76"/>
      <x:c r="L21" s="76" t="str">
        <x:v>NOT_APPLICABLE</x:v>
      </x:c>
      <x:c r="M21" s="76" t="n">
        <x:v>0.0069</x:v>
      </x:c>
      <x:c r="N21" s="76" t="str">
        <x:v>DISCLOSED_COMPLETE</x:v>
      </x:c>
      <x:c r="O21" s="73" t="n">
        <x:v>0.0001</x:v>
      </x:c>
      <x:c r="P21" s="73" t="str">
        <x:v>0.0001万元</x:v>
      </x:c>
      <x:c r="Q21" s="73" t="str">
        <x:v>CNY</x:v>
      </x:c>
      <x:c r="R21" s="73" t="str">
        <x:v>万元</x:v>
      </x:c>
      <x:c r="S21" s="73" t="str">
        <x:v>DISCLOSED_COMPLETE</x:v>
      </x:c>
      <x:c r="T21" s="73"/>
      <x:c r="U21" s="73" t="str">
        <x:v>NOT_DISCLOSED</x:v>
      </x:c>
      <x:c r="V21" s="30" t="str">
        <x:v>TRANSFER_ENTRY</x:v>
      </x:c>
      <x:c r="W21" s="73" t="str">
        <x:v>DISCLOSED</x:v>
      </x:c>
      <x:c r="X21" s="30"/>
      <x:c r="Y21" s="30"/>
      <x:c r="Z21" s="30" t="str">
        <x:v>EVD-688726-0008</x:v>
      </x:c>
      <x:c r="AA21" s="30" t="str">
        <x:v>FINAL_APPROVED</x:v>
      </x:c>
    </x:row>
    <x:row r="22">
      <x:c r="A22" s="30" t="str">
        <x:v>TRX-688726-0018</x:v>
      </x:c>
      <x:c r="B22" s="30" t="str">
        <x:v>EVT-688726-0008</x:v>
      </x:c>
      <x:c r="C22" s="30" t="str">
        <x:v>EQUITY_TRANSFER</x:v>
      </x:c>
      <x:c r="D22" s="30" t="str">
        <x:v>EQUITY_TRANSFER</x:v>
      </x:c>
      <x:c r="E22" s="30" t="str">
        <x:v>2021-12</x:v>
      </x:c>
      <x:c r="F22" s="30" t="str">
        <x:v>2021-12</x:v>
      </x:c>
      <x:c r="G22" s="30" t="str">
        <x:v>COMPLETION</x:v>
      </x:c>
      <x:c r="H22" s="73"/>
      <x:c r="I22" s="73" t="str">
        <x:v>NOT_APPLICABLE</x:v>
      </x:c>
      <x:c r="J22" s="73"/>
      <x:c r="K22" s="76"/>
      <x:c r="L22" s="76" t="str">
        <x:v>NOT_APPLICABLE</x:v>
      </x:c>
      <x:c r="M22" s="76" t="n">
        <x:v>0.0031</x:v>
      </x:c>
      <x:c r="N22" s="76" t="str">
        <x:v>DISCLOSED_COMPLETE</x:v>
      </x:c>
      <x:c r="O22" s="73" t="n">
        <x:v>0.0001</x:v>
      </x:c>
      <x:c r="P22" s="73" t="str">
        <x:v>0.0001万元</x:v>
      </x:c>
      <x:c r="Q22" s="73" t="str">
        <x:v>CNY</x:v>
      </x:c>
      <x:c r="R22" s="73" t="str">
        <x:v>万元</x:v>
      </x:c>
      <x:c r="S22" s="73" t="str">
        <x:v>DISCLOSED_COMPLETE</x:v>
      </x:c>
      <x:c r="T22" s="73"/>
      <x:c r="U22" s="73" t="str">
        <x:v>NOT_DISCLOSED</x:v>
      </x:c>
      <x:c r="V22" s="30" t="str">
        <x:v>TRANSFER_ENTRY</x:v>
      </x:c>
      <x:c r="W22" s="73" t="str">
        <x:v>DISCLOSED</x:v>
      </x:c>
      <x:c r="X22" s="30"/>
      <x:c r="Y22" s="30"/>
      <x:c r="Z22" s="30" t="str">
        <x:v>EVD-688726-0008</x:v>
      </x:c>
      <x:c r="AA22" s="30" t="str">
        <x:v>FINAL_APPROVED</x:v>
      </x:c>
    </x:row>
    <x:row r="23">
      <x:c r="A23" s="30" t="str">
        <x:v>TRX-688726-0019</x:v>
      </x:c>
      <x:c r="B23" s="30" t="str">
        <x:v>EVT-688726-0009</x:v>
      </x:c>
      <x:c r="C23" s="30" t="str">
        <x:v>CAPITAL_INCREASE</x:v>
      </x:c>
      <x:c r="D23" s="30" t="str">
        <x:v>CAPITAL_INCREASE</x:v>
      </x:c>
      <x:c r="E23" s="30" t="str">
        <x:v>2021-12</x:v>
      </x:c>
      <x:c r="F23" s="30" t="str">
        <x:v>2021-12</x:v>
      </x:c>
      <x:c r="G23" s="30" t="str">
        <x:v>RESOLUTION</x:v>
      </x:c>
      <x:c r="H23" s="73" t="n">
        <x:v>79.6328</x:v>
      </x:c>
      <x:c r="I23" s="73" t="str">
        <x:v>DISCLOSED_COMPLETE</x:v>
      </x:c>
      <x:c r="J23" s="73" t="str">
        <x:v>10K_CNY_REGISTERED_CAPITAL</x:v>
      </x:c>
      <x:c r="K23" s="76"/>
      <x:c r="L23" s="76" t="str">
        <x:v>NOT_APPLICABLE</x:v>
      </x:c>
      <x:c r="M23" s="76"/>
      <x:c r="N23" s="76" t="str">
        <x:v>NOT_APPLICABLE</x:v>
      </x:c>
      <x:c r="O23" s="73" t="n">
        <x:v>13000</x:v>
      </x:c>
      <x:c r="P23" s="73" t="str">
        <x:v>13,000.0000万元</x:v>
      </x:c>
      <x:c r="Q23" s="73" t="str">
        <x:v>CNY</x:v>
      </x:c>
      <x:c r="R23" s="73" t="str">
        <x:v>万元</x:v>
      </x:c>
      <x:c r="S23" s="73" t="str">
        <x:v>DISCLOSED_COMPLETE</x:v>
      </x:c>
      <x:c r="T23" s="73"/>
      <x:c r="U23" s="73" t="str">
        <x:v>NOT_DISCLOSED</x:v>
      </x:c>
      <x:c r="V23" s="30" t="str">
        <x:v>CAPITAL_INCREASE_ENTRY</x:v>
      </x:c>
      <x:c r="W23" s="73" t="str">
        <x:v>CALCULATED</x:v>
      </x:c>
      <x:c r="X23" s="30"/>
      <x:c r="Y23" s="30"/>
      <x:c r="Z23" s="30" t="str">
        <x:v>EVD-688726-0009</x:v>
      </x:c>
      <x:c r="AA23" s="30" t="str">
        <x:v>FINAL_APPROVED</x:v>
      </x:c>
    </x:row>
    <x:row r="24">
      <x:c r="A24" s="30" t="str">
        <x:v>TRX-688726-0020</x:v>
      </x:c>
      <x:c r="B24" s="30" t="str">
        <x:v>EVT-688726-0010</x:v>
      </x:c>
      <x:c r="C24" s="30" t="str">
        <x:v>EQUITY_TRANSFER</x:v>
      </x:c>
      <x:c r="D24" s="30" t="str">
        <x:v>EQUITY_TRANSFER</x:v>
      </x:c>
      <x:c r="E24" s="30" t="str">
        <x:v>2022-04</x:v>
      </x:c>
      <x:c r="F24" s="30" t="str">
        <x:v>2022-04</x:v>
      </x:c>
      <x:c r="G24" s="30" t="str">
        <x:v>COMPLETION</x:v>
      </x:c>
      <x:c r="H24" s="73"/>
      <x:c r="I24" s="73" t="str">
        <x:v>NOT_APPLICABLE</x:v>
      </x:c>
      <x:c r="J24" s="73"/>
      <x:c r="K24" s="76"/>
      <x:c r="L24" s="76" t="str">
        <x:v>NOT_APPLICABLE</x:v>
      </x:c>
      <x:c r="M24" s="76" t="n">
        <x:v>0.0066</x:v>
      </x:c>
      <x:c r="N24" s="76" t="str">
        <x:v>DISCLOSED_COMPLETE</x:v>
      </x:c>
      <x:c r="O24" s="73" t="n">
        <x:v>1500</x:v>
      </x:c>
      <x:c r="P24" s="73" t="str">
        <x:v>1,500.0000万元</x:v>
      </x:c>
      <x:c r="Q24" s="73" t="str">
        <x:v>CNY</x:v>
      </x:c>
      <x:c r="R24" s="73" t="str">
        <x:v>万元</x:v>
      </x:c>
      <x:c r="S24" s="73" t="str">
        <x:v>DISCLOSED_COMPLETE</x:v>
      </x:c>
      <x:c r="T24" s="73"/>
      <x:c r="U24" s="73" t="str">
        <x:v>NOT_DISCLOSED</x:v>
      </x:c>
      <x:c r="V24" s="30" t="str">
        <x:v>TRANSFER_ENTRY</x:v>
      </x:c>
      <x:c r="W24" s="73" t="str">
        <x:v>DISCLOSED</x:v>
      </x:c>
      <x:c r="X24" s="30"/>
      <x:c r="Y24" s="30"/>
      <x:c r="Z24" s="30" t="str">
        <x:v>EVD-688726-0010</x:v>
      </x:c>
      <x:c r="AA24" s="30" t="str">
        <x:v>FINAL_APPROVED</x:v>
      </x:c>
    </x:row>
    <x:row r="25">
      <x:c r="A25" s="30" t="str">
        <x:v>TRX-688726-0021</x:v>
      </x:c>
      <x:c r="B25" s="30" t="str">
        <x:v>EVT-688726-0010</x:v>
      </x:c>
      <x:c r="C25" s="30" t="str">
        <x:v>EQUITY_TRANSFER</x:v>
      </x:c>
      <x:c r="D25" s="30" t="str">
        <x:v>EQUITY_TRANSFER</x:v>
      </x:c>
      <x:c r="E25" s="30" t="str">
        <x:v>2022-04</x:v>
      </x:c>
      <x:c r="F25" s="30" t="str">
        <x:v>2022-04</x:v>
      </x:c>
      <x:c r="G25" s="30" t="str">
        <x:v>COMPLETION</x:v>
      </x:c>
      <x:c r="H25" s="73"/>
      <x:c r="I25" s="73" t="str">
        <x:v>NOT_APPLICABLE</x:v>
      </x:c>
      <x:c r="J25" s="73"/>
      <x:c r="K25" s="76"/>
      <x:c r="L25" s="76" t="str">
        <x:v>NOT_APPLICABLE</x:v>
      </x:c>
      <x:c r="M25" s="76" t="n">
        <x:v>0.0142</x:v>
      </x:c>
      <x:c r="N25" s="76" t="str">
        <x:v>DISCLOSED_COMPLETE</x:v>
      </x:c>
      <x:c r="O25" s="73" t="n">
        <x:v>3200</x:v>
      </x:c>
      <x:c r="P25" s="73" t="str">
        <x:v>3,200.0000万元</x:v>
      </x:c>
      <x:c r="Q25" s="73" t="str">
        <x:v>CNY</x:v>
      </x:c>
      <x:c r="R25" s="73" t="str">
        <x:v>万元</x:v>
      </x:c>
      <x:c r="S25" s="73" t="str">
        <x:v>DISCLOSED_COMPLETE</x:v>
      </x:c>
      <x:c r="T25" s="73"/>
      <x:c r="U25" s="73" t="str">
        <x:v>NOT_DISCLOSED</x:v>
      </x:c>
      <x:c r="V25" s="30" t="str">
        <x:v>TRANSFER_ENTRY</x:v>
      </x:c>
      <x:c r="W25" s="73" t="str">
        <x:v>DISCLOSED</x:v>
      </x:c>
      <x:c r="X25" s="30"/>
      <x:c r="Y25" s="30"/>
      <x:c r="Z25" s="30" t="str">
        <x:v>EVD-688726-0010</x:v>
      </x:c>
      <x:c r="AA25" s="30" t="str">
        <x:v>FINAL_APPROVED</x:v>
      </x:c>
    </x:row>
    <x:row r="26">
      <x:c r="A26" s="30" t="str">
        <x:v>TRX-688726-0022</x:v>
      </x:c>
      <x:c r="B26" s="30" t="str">
        <x:v>EVT-688726-0010</x:v>
      </x:c>
      <x:c r="C26" s="30" t="str">
        <x:v>EQUITY_TRANSFER</x:v>
      </x:c>
      <x:c r="D26" s="30" t="str">
        <x:v>EQUITY_TRANSFER</x:v>
      </x:c>
      <x:c r="E26" s="30" t="str">
        <x:v>2022-04</x:v>
      </x:c>
      <x:c r="F26" s="30" t="str">
        <x:v>2022-04</x:v>
      </x:c>
      <x:c r="G26" s="30" t="str">
        <x:v>COMPLETION</x:v>
      </x:c>
      <x:c r="H26" s="73"/>
      <x:c r="I26" s="73" t="str">
        <x:v>NOT_APPLICABLE</x:v>
      </x:c>
      <x:c r="J26" s="73"/>
      <x:c r="K26" s="76"/>
      <x:c r="L26" s="76" t="str">
        <x:v>NOT_APPLICABLE</x:v>
      </x:c>
      <x:c r="M26" s="76" t="n">
        <x:v>0.0146</x:v>
      </x:c>
      <x:c r="N26" s="76" t="str">
        <x:v>DISCLOSED_COMPLETE</x:v>
      </x:c>
      <x:c r="O26" s="73" t="n">
        <x:v>3300</x:v>
      </x:c>
      <x:c r="P26" s="73" t="str">
        <x:v>3,300.0000万元</x:v>
      </x:c>
      <x:c r="Q26" s="73" t="str">
        <x:v>CNY</x:v>
      </x:c>
      <x:c r="R26" s="73" t="str">
        <x:v>万元</x:v>
      </x:c>
      <x:c r="S26" s="73" t="str">
        <x:v>DISCLOSED_COMPLETE</x:v>
      </x:c>
      <x:c r="T26" s="73"/>
      <x:c r="U26" s="73" t="str">
        <x:v>NOT_DISCLOSED</x:v>
      </x:c>
      <x:c r="V26" s="30" t="str">
        <x:v>TRANSFER_ENTRY</x:v>
      </x:c>
      <x:c r="W26" s="73" t="str">
        <x:v>DISCLOSED</x:v>
      </x:c>
      <x:c r="X26" s="30"/>
      <x:c r="Y26" s="30"/>
      <x:c r="Z26" s="30" t="str">
        <x:v>EVD-688726-0010</x:v>
      </x:c>
      <x:c r="AA26" s="30" t="str">
        <x:v>FINAL_APPROVED</x:v>
      </x:c>
    </x:row>
    <x:row r="27">
      <x:c r="A27" s="30" t="str">
        <x:v>TRX-688726-0023</x:v>
      </x:c>
      <x:c r="B27" s="30" t="str">
        <x:v>EVT-688726-0011</x:v>
      </x:c>
      <x:c r="C27" s="30" t="str">
        <x:v>EQUITY_TRANSFER</x:v>
      </x:c>
      <x:c r="D27" s="30" t="str">
        <x:v>EQUITY_TRANSFER</x:v>
      </x:c>
      <x:c r="E27" s="30" t="str">
        <x:v>2022-05</x:v>
      </x:c>
      <x:c r="F27" s="30" t="str">
        <x:v>2022-05</x:v>
      </x:c>
      <x:c r="G27" s="30" t="str">
        <x:v>COMPLETION</x:v>
      </x:c>
      <x:c r="H27" s="73"/>
      <x:c r="I27" s="73" t="str">
        <x:v>NOT_APPLICABLE</x:v>
      </x:c>
      <x:c r="J27" s="73"/>
      <x:c r="K27" s="76"/>
      <x:c r="L27" s="76" t="str">
        <x:v>NOT_APPLICABLE</x:v>
      </x:c>
      <x:c r="M27" s="76" t="n">
        <x:v>0.0044</x:v>
      </x:c>
      <x:c r="N27" s="76" t="str">
        <x:v>DISCLOSED_COMPLETE</x:v>
      </x:c>
      <x:c r="O27" s="73" t="n">
        <x:v>1000</x:v>
      </x:c>
      <x:c r="P27" s="73" t="str">
        <x:v>1,000.0000万元</x:v>
      </x:c>
      <x:c r="Q27" s="73" t="str">
        <x:v>CNY</x:v>
      </x:c>
      <x:c r="R27" s="73" t="str">
        <x:v>万元</x:v>
      </x:c>
      <x:c r="S27" s="73" t="str">
        <x:v>DISCLOSED_COMPLETE</x:v>
      </x:c>
      <x:c r="T27" s="73"/>
      <x:c r="U27" s="73" t="str">
        <x:v>NOT_DISCLOSED</x:v>
      </x:c>
      <x:c r="V27" s="30" t="str">
        <x:v>TRANSFER_ENTRY</x:v>
      </x:c>
      <x:c r="W27" s="73" t="str">
        <x:v>DISCLOSED</x:v>
      </x:c>
      <x:c r="X27" s="30"/>
      <x:c r="Y27" s="30"/>
      <x:c r="Z27" s="30" t="str">
        <x:v>EVD-688726-0011</x:v>
      </x:c>
      <x:c r="AA27" s="30" t="str">
        <x:v>FINAL_APPROVED</x:v>
      </x:c>
    </x:row>
    <x:row r="28">
      <x:c r="A28" s="30" t="str">
        <x:v>TRX-688726-0024</x:v>
      </x:c>
      <x:c r="B28" s="30" t="str">
        <x:v>EVT-688726-0011</x:v>
      </x:c>
      <x:c r="C28" s="30" t="str">
        <x:v>EQUITY_TRANSFER</x:v>
      </x:c>
      <x:c r="D28" s="30" t="str">
        <x:v>EQUITY_TRANSFER</x:v>
      </x:c>
      <x:c r="E28" s="30" t="str">
        <x:v>2022-05</x:v>
      </x:c>
      <x:c r="F28" s="30" t="str">
        <x:v>2022-05</x:v>
      </x:c>
      <x:c r="G28" s="30" t="str">
        <x:v>COMPLETION</x:v>
      </x:c>
      <x:c r="H28" s="73"/>
      <x:c r="I28" s="73" t="str">
        <x:v>NOT_APPLICABLE</x:v>
      </x:c>
      <x:c r="J28" s="73"/>
      <x:c r="K28" s="76"/>
      <x:c r="L28" s="76" t="str">
        <x:v>NOT_APPLICABLE</x:v>
      </x:c>
      <x:c r="M28" s="76" t="n">
        <x:v>0.0058</x:v>
      </x:c>
      <x:c r="N28" s="76" t="str">
        <x:v>DISCLOSED_COMPLETE</x:v>
      </x:c>
      <x:c r="O28" s="73" t="n">
        <x:v>1300</x:v>
      </x:c>
      <x:c r="P28" s="73" t="str">
        <x:v>1,300.0000万元</x:v>
      </x:c>
      <x:c r="Q28" s="73" t="str">
        <x:v>CNY</x:v>
      </x:c>
      <x:c r="R28" s="73" t="str">
        <x:v>万元</x:v>
      </x:c>
      <x:c r="S28" s="73" t="str">
        <x:v>DISCLOSED_COMPLETE</x:v>
      </x:c>
      <x:c r="T28" s="73"/>
      <x:c r="U28" s="73" t="str">
        <x:v>NOT_DISCLOSED</x:v>
      </x:c>
      <x:c r="V28" s="30" t="str">
        <x:v>TRANSFER_ENTRY</x:v>
      </x:c>
      <x:c r="W28" s="73" t="str">
        <x:v>DISCLOSED</x:v>
      </x:c>
      <x:c r="X28" s="30"/>
      <x:c r="Y28" s="30"/>
      <x:c r="Z28" s="30" t="str">
        <x:v>EVD-688726-0011</x:v>
      </x:c>
      <x:c r="AA28" s="30" t="str">
        <x:v>FINAL_APPROVED</x:v>
      </x:c>
    </x:row>
    <x:row r="29">
      <x:c r="A29" s="30" t="str">
        <x:v>TRX-688726-0025</x:v>
      </x:c>
      <x:c r="B29" s="30" t="str">
        <x:v>EVT-688726-0012</x:v>
      </x:c>
      <x:c r="C29" s="30" t="str">
        <x:v>EQUITY_TRANSFER</x:v>
      </x:c>
      <x:c r="D29" s="30" t="str">
        <x:v>EQUITY_TRANSFER</x:v>
      </x:c>
      <x:c r="E29" s="30" t="str">
        <x:v>2022-05</x:v>
      </x:c>
      <x:c r="F29" s="30" t="str">
        <x:v>2022-05</x:v>
      </x:c>
      <x:c r="G29" s="30" t="str">
        <x:v>COMPLETION</x:v>
      </x:c>
      <x:c r="H29" s="73"/>
      <x:c r="I29" s="73" t="str">
        <x:v>NOT_APPLICABLE</x:v>
      </x:c>
      <x:c r="J29" s="73"/>
      <x:c r="K29" s="76"/>
      <x:c r="L29" s="76" t="str">
        <x:v>NOT_APPLICABLE</x:v>
      </x:c>
      <x:c r="M29" s="76" t="n">
        <x:v>0.0025</x:v>
      </x:c>
      <x:c r="N29" s="76" t="str">
        <x:v>DISCLOSED_COMPLETE</x:v>
      </x:c>
      <x:c r="O29" s="73" t="n">
        <x:v>105</x:v>
      </x:c>
      <x:c r="P29" s="73" t="str">
        <x:v>105.0000万元</x:v>
      </x:c>
      <x:c r="Q29" s="73" t="str">
        <x:v>CNY</x:v>
      </x:c>
      <x:c r="R29" s="73" t="str">
        <x:v>万元</x:v>
      </x:c>
      <x:c r="S29" s="73" t="str">
        <x:v>DISCLOSED_COMPLETE</x:v>
      </x:c>
      <x:c r="T29" s="73"/>
      <x:c r="U29" s="73" t="str">
        <x:v>NOT_DISCLOSED</x:v>
      </x:c>
      <x:c r="V29" s="30" t="str">
        <x:v>TRANSFER_ENTRY</x:v>
      </x:c>
      <x:c r="W29" s="73" t="str">
        <x:v>DISCLOSED</x:v>
      </x:c>
      <x:c r="X29" s="30"/>
      <x:c r="Y29" s="30"/>
      <x:c r="Z29" s="30" t="str">
        <x:v>EVD-688726-0012</x:v>
      </x:c>
      <x:c r="AA29" s="30" t="str">
        <x:v>FINAL_APPROVED</x:v>
      </x:c>
    </x:row>
    <x:row r="30">
      <x:c r="A30" s="30" t="str">
        <x:v>TRX-688726-0026</x:v>
      </x:c>
      <x:c r="B30" s="30" t="str">
        <x:v>EVT-688726-0012</x:v>
      </x:c>
      <x:c r="C30" s="30" t="str">
        <x:v>EQUITY_TRANSFER</x:v>
      </x:c>
      <x:c r="D30" s="30" t="str">
        <x:v>EQUITY_TRANSFER</x:v>
      </x:c>
      <x:c r="E30" s="30" t="str">
        <x:v>2022-05</x:v>
      </x:c>
      <x:c r="F30" s="30" t="str">
        <x:v>2022-05</x:v>
      </x:c>
      <x:c r="G30" s="30" t="str">
        <x:v>COMPLETION</x:v>
      </x:c>
      <x:c r="H30" s="73"/>
      <x:c r="I30" s="73" t="str">
        <x:v>NOT_APPLICABLE</x:v>
      </x:c>
      <x:c r="J30" s="73"/>
      <x:c r="K30" s="76"/>
      <x:c r="L30" s="76" t="str">
        <x:v>NOT_APPLICABLE</x:v>
      </x:c>
      <x:c r="M30" s="76" t="n">
        <x:v>0.0025</x:v>
      </x:c>
      <x:c r="N30" s="76" t="str">
        <x:v>DISCLOSED_COMPLETE</x:v>
      </x:c>
      <x:c r="O30" s="73" t="n">
        <x:v>105</x:v>
      </x:c>
      <x:c r="P30" s="73" t="str">
        <x:v>105.0000万元</x:v>
      </x:c>
      <x:c r="Q30" s="73" t="str">
        <x:v>CNY</x:v>
      </x:c>
      <x:c r="R30" s="73" t="str">
        <x:v>万元</x:v>
      </x:c>
      <x:c r="S30" s="73" t="str">
        <x:v>DISCLOSED_COMPLETE</x:v>
      </x:c>
      <x:c r="T30" s="73"/>
      <x:c r="U30" s="73" t="str">
        <x:v>NOT_DISCLOSED</x:v>
      </x:c>
      <x:c r="V30" s="30" t="str">
        <x:v>TRANSFER_ENTRY</x:v>
      </x:c>
      <x:c r="W30" s="73" t="str">
        <x:v>DISCLOSED</x:v>
      </x:c>
      <x:c r="X30" s="30"/>
      <x:c r="Y30" s="30"/>
      <x:c r="Z30" s="30" t="str">
        <x:v>EVD-688726-0012</x:v>
      </x:c>
      <x:c r="AA30" s="30" t="str">
        <x:v>FINAL_APPROVED</x:v>
      </x:c>
    </x:row>
    <x:row r="31">
      <x:c r="A31" s="30" t="str">
        <x:v>TRX-688726-0027</x:v>
      </x:c>
      <x:c r="B31" s="30" t="str">
        <x:v>EVT-688726-0012</x:v>
      </x:c>
      <x:c r="C31" s="30" t="str">
        <x:v>EQUITY_TRANSFER</x:v>
      </x:c>
      <x:c r="D31" s="30" t="str">
        <x:v>EQUITY_TRANSFER</x:v>
      </x:c>
      <x:c r="E31" s="30" t="str">
        <x:v>2022-05</x:v>
      </x:c>
      <x:c r="F31" s="30" t="str">
        <x:v>2022-05</x:v>
      </x:c>
      <x:c r="G31" s="30" t="str">
        <x:v>COMPLETION</x:v>
      </x:c>
      <x:c r="H31" s="73"/>
      <x:c r="I31" s="73" t="str">
        <x:v>NOT_APPLICABLE</x:v>
      </x:c>
      <x:c r="J31" s="73"/>
      <x:c r="K31" s="76"/>
      <x:c r="L31" s="76" t="str">
        <x:v>NOT_APPLICABLE</x:v>
      </x:c>
      <x:c r="M31" s="76" t="n">
        <x:v>0.0025</x:v>
      </x:c>
      <x:c r="N31" s="76" t="str">
        <x:v>DISCLOSED_COMPLETE</x:v>
      </x:c>
      <x:c r="O31" s="73" t="n">
        <x:v>105</x:v>
      </x:c>
      <x:c r="P31" s="73" t="str">
        <x:v>105.0000万元</x:v>
      </x:c>
      <x:c r="Q31" s="73" t="str">
        <x:v>CNY</x:v>
      </x:c>
      <x:c r="R31" s="73" t="str">
        <x:v>万元</x:v>
      </x:c>
      <x:c r="S31" s="73" t="str">
        <x:v>DISCLOSED_COMPLETE</x:v>
      </x:c>
      <x:c r="T31" s="73"/>
      <x:c r="U31" s="73" t="str">
        <x:v>NOT_DISCLOSED</x:v>
      </x:c>
      <x:c r="V31" s="30" t="str">
        <x:v>TRANSFER_ENTRY</x:v>
      </x:c>
      <x:c r="W31" s="73" t="str">
        <x:v>DISCLOSED</x:v>
      </x:c>
      <x:c r="X31" s="30"/>
      <x:c r="Y31" s="30"/>
      <x:c r="Z31" s="30" t="str">
        <x:v>EVD-688726-0012</x:v>
      </x:c>
      <x:c r="AA31" s="30" t="str">
        <x:v>FINAL_APPROVED</x:v>
      </x:c>
    </x:row>
    <x:row r="32">
      <x:c r="A32" s="30" t="str">
        <x:v>TRX-688726-0028</x:v>
      </x:c>
      <x:c r="B32" s="30" t="str">
        <x:v>EVT-688726-0012</x:v>
      </x:c>
      <x:c r="C32" s="30" t="str">
        <x:v>EQUITY_TRANSFER</x:v>
      </x:c>
      <x:c r="D32" s="30" t="str">
        <x:v>EQUITY_TRANSFER</x:v>
      </x:c>
      <x:c r="E32" s="30" t="str">
        <x:v>2022-05</x:v>
      </x:c>
      <x:c r="F32" s="30" t="str">
        <x:v>2022-05</x:v>
      </x:c>
      <x:c r="G32" s="30" t="str">
        <x:v>COMPLETION</x:v>
      </x:c>
      <x:c r="H32" s="73"/>
      <x:c r="I32" s="73" t="str">
        <x:v>NOT_APPLICABLE</x:v>
      </x:c>
      <x:c r="J32" s="73"/>
      <x:c r="K32" s="76"/>
      <x:c r="L32" s="76" t="str">
        <x:v>NOT_APPLICABLE</x:v>
      </x:c>
      <x:c r="M32" s="76" t="n">
        <x:v>0.0021</x:v>
      </x:c>
      <x:c r="N32" s="76" t="str">
        <x:v>DISCLOSED_COMPLETE</x:v>
      </x:c>
      <x:c r="O32" s="73" t="n">
        <x:v>90</x:v>
      </x:c>
      <x:c r="P32" s="73" t="str">
        <x:v>90.0000万元</x:v>
      </x:c>
      <x:c r="Q32" s="73" t="str">
        <x:v>CNY</x:v>
      </x:c>
      <x:c r="R32" s="73" t="str">
        <x:v>万元</x:v>
      </x:c>
      <x:c r="S32" s="73" t="str">
        <x:v>DISCLOSED_COMPLETE</x:v>
      </x:c>
      <x:c r="T32" s="73"/>
      <x:c r="U32" s="73" t="str">
        <x:v>NOT_DISCLOSED</x:v>
      </x:c>
      <x:c r="V32" s="30" t="str">
        <x:v>TRANSFER_ENTRY</x:v>
      </x:c>
      <x:c r="W32" s="73" t="str">
        <x:v>DISCLOSED</x:v>
      </x:c>
      <x:c r="X32" s="30"/>
      <x:c r="Y32" s="30"/>
      <x:c r="Z32" s="30" t="str">
        <x:v>EVD-688726-0012</x:v>
      </x:c>
      <x:c r="AA32" s="30" t="str">
        <x:v>FINAL_APPROVED</x:v>
      </x:c>
    </x:row>
    <x:row r="33">
      <x:c r="A33" s="30" t="str">
        <x:v>TRX-688726-0029</x:v>
      </x:c>
      <x:c r="B33" s="30" t="str">
        <x:v>EVT-688726-0012</x:v>
      </x:c>
      <x:c r="C33" s="30" t="str">
        <x:v>EQUITY_TRANSFER</x:v>
      </x:c>
      <x:c r="D33" s="30" t="str">
        <x:v>EQUITY_TRANSFER</x:v>
      </x:c>
      <x:c r="E33" s="30" t="str">
        <x:v>2022-05</x:v>
      </x:c>
      <x:c r="F33" s="30" t="str">
        <x:v>2022-05</x:v>
      </x:c>
      <x:c r="G33" s="30" t="str">
        <x:v>COMPLETION</x:v>
      </x:c>
      <x:c r="H33" s="73"/>
      <x:c r="I33" s="73" t="str">
        <x:v>NOT_APPLICABLE</x:v>
      </x:c>
      <x:c r="J33" s="73"/>
      <x:c r="K33" s="76"/>
      <x:c r="L33" s="76" t="str">
        <x:v>NOT_APPLICABLE</x:v>
      </x:c>
      <x:c r="M33" s="76" t="n">
        <x:v>0.0074</x:v>
      </x:c>
      <x:c r="N33" s="76" t="str">
        <x:v>DISCLOSED_COMPLETE</x:v>
      </x:c>
      <x:c r="O33" s="73" t="n">
        <x:v>315</x:v>
      </x:c>
      <x:c r="P33" s="73" t="str">
        <x:v>315.0000万元</x:v>
      </x:c>
      <x:c r="Q33" s="73" t="str">
        <x:v>CNY</x:v>
      </x:c>
      <x:c r="R33" s="73" t="str">
        <x:v>万元</x:v>
      </x:c>
      <x:c r="S33" s="73" t="str">
        <x:v>DISCLOSED_COMPLETE</x:v>
      </x:c>
      <x:c r="T33" s="73"/>
      <x:c r="U33" s="73" t="str">
        <x:v>NOT_DISCLOSED</x:v>
      </x:c>
      <x:c r="V33" s="30" t="str">
        <x:v>TRANSFER_ENTRY</x:v>
      </x:c>
      <x:c r="W33" s="73" t="str">
        <x:v>DISCLOSED</x:v>
      </x:c>
      <x:c r="X33" s="30"/>
      <x:c r="Y33" s="30"/>
      <x:c r="Z33" s="30" t="str">
        <x:v>EVD-688726-0012</x:v>
      </x:c>
      <x:c r="AA33" s="30" t="str">
        <x:v>FINAL_APPROVED</x:v>
      </x:c>
    </x:row>
    <x:row r="34">
      <x:c r="A34" s="30" t="str">
        <x:v>TRX-688726-0030</x:v>
      </x:c>
      <x:c r="B34" s="30" t="str">
        <x:v>EVT-688726-0012</x:v>
      </x:c>
      <x:c r="C34" s="30" t="str">
        <x:v>EQUITY_TRANSFER</x:v>
      </x:c>
      <x:c r="D34" s="30" t="str">
        <x:v>EQUITY_TRANSFER</x:v>
      </x:c>
      <x:c r="E34" s="30" t="str">
        <x:v>2022-05</x:v>
      </x:c>
      <x:c r="F34" s="30" t="str">
        <x:v>2022-05</x:v>
      </x:c>
      <x:c r="G34" s="30" t="str">
        <x:v>COMPLETION</x:v>
      </x:c>
      <x:c r="H34" s="73"/>
      <x:c r="I34" s="73" t="str">
        <x:v>NOT_APPLICABLE</x:v>
      </x:c>
      <x:c r="J34" s="73"/>
      <x:c r="K34" s="76"/>
      <x:c r="L34" s="76" t="str">
        <x:v>NOT_APPLICABLE</x:v>
      </x:c>
      <x:c r="M34" s="76" t="n">
        <x:v>0.0101</x:v>
      </x:c>
      <x:c r="N34" s="76" t="str">
        <x:v>DISCLOSED_COMPLETE</x:v>
      </x:c>
      <x:c r="O34" s="73" t="n">
        <x:v>432</x:v>
      </x:c>
      <x:c r="P34" s="73" t="str">
        <x:v>432.0000万元</x:v>
      </x:c>
      <x:c r="Q34" s="73" t="str">
        <x:v>CNY</x:v>
      </x:c>
      <x:c r="R34" s="73" t="str">
        <x:v>万元</x:v>
      </x:c>
      <x:c r="S34" s="73" t="str">
        <x:v>DISCLOSED_COMPLETE</x:v>
      </x:c>
      <x:c r="T34" s="73"/>
      <x:c r="U34" s="73" t="str">
        <x:v>NOT_DISCLOSED</x:v>
      </x:c>
      <x:c r="V34" s="30" t="str">
        <x:v>TRANSFER_ENTRY</x:v>
      </x:c>
      <x:c r="W34" s="73" t="str">
        <x:v>DISCLOSED</x:v>
      </x:c>
      <x:c r="X34" s="30"/>
      <x:c r="Y34" s="30"/>
      <x:c r="Z34" s="30" t="str">
        <x:v>EVD-688726-0012</x:v>
      </x:c>
      <x:c r="AA34" s="30" t="str">
        <x:v>FINAL_APPROVED</x:v>
      </x:c>
    </x:row>
    <x:row r="35">
      <x:c r="A35" s="30" t="str">
        <x:v>TRX-688726-0031</x:v>
      </x:c>
      <x:c r="B35" s="30" t="str">
        <x:v>EVT-688726-0012</x:v>
      </x:c>
      <x:c r="C35" s="30" t="str">
        <x:v>CAPITAL_INCREASE</x:v>
      </x:c>
      <x:c r="D35" s="30" t="str">
        <x:v>CAPITAL_INCREASE</x:v>
      </x:c>
      <x:c r="E35" s="30" t="str">
        <x:v>2022-05</x:v>
      </x:c>
      <x:c r="F35" s="30" t="str">
        <x:v>2022-05</x:v>
      </x:c>
      <x:c r="G35" s="30" t="str">
        <x:v>RESOLUTION</x:v>
      </x:c>
      <x:c r="H35" s="73" t="n">
        <x:v>6.1256</x:v>
      </x:c>
      <x:c r="I35" s="73" t="str">
        <x:v>DISCLOSED_COMPLETE</x:v>
      </x:c>
      <x:c r="J35" s="73" t="str">
        <x:v>10K_CNY_REGISTERED_CAPITAL</x:v>
      </x:c>
      <x:c r="K35" s="76"/>
      <x:c r="L35" s="76" t="str">
        <x:v>NOT_APPLICABLE</x:v>
      </x:c>
      <x:c r="M35" s="76"/>
      <x:c r="N35" s="76" t="str">
        <x:v>NOT_APPLICABLE</x:v>
      </x:c>
      <x:c r="O35" s="73" t="n">
        <x:v>1000</x:v>
      </x:c>
      <x:c r="P35" s="73" t="str">
        <x:v>1,000.0000万元</x:v>
      </x:c>
      <x:c r="Q35" s="73" t="str">
        <x:v>CNY</x:v>
      </x:c>
      <x:c r="R35" s="73" t="str">
        <x:v>万元</x:v>
      </x:c>
      <x:c r="S35" s="73" t="str">
        <x:v>DISCLOSED_COMPLETE</x:v>
      </x:c>
      <x:c r="T35" s="73"/>
      <x:c r="U35" s="73" t="str">
        <x:v>NOT_DISCLOSED</x:v>
      </x:c>
      <x:c r="V35" s="30" t="str">
        <x:v>CAPITAL_INCREASE_ENTRY</x:v>
      </x:c>
      <x:c r="W35" s="73" t="str">
        <x:v>DISCLOSED</x:v>
      </x:c>
      <x:c r="X35" s="30"/>
      <x:c r="Y35" s="30"/>
      <x:c r="Z35" s="30" t="str">
        <x:v>EVD-688726-0012</x:v>
      </x:c>
      <x:c r="AA35" s="30" t="str">
        <x:v>FINAL_APPROVED</x:v>
      </x:c>
    </x:row>
    <x:row r="36">
      <x:c r="A36" s="30" t="str">
        <x:v>TRX-688726-0032</x:v>
      </x:c>
      <x:c r="B36" s="30" t="str">
        <x:v>EVT-688726-0013</x:v>
      </x:c>
      <x:c r="C36" s="30" t="str">
        <x:v>CAPITAL_INCREASE</x:v>
      </x:c>
      <x:c r="D36" s="30" t="str">
        <x:v>CAPITAL_INCREASE</x:v>
      </x:c>
      <x:c r="E36" s="30" t="str">
        <x:v>2022-07</x:v>
      </x:c>
      <x:c r="F36" s="30" t="str">
        <x:v>2022-07</x:v>
      </x:c>
      <x:c r="G36" s="30" t="str">
        <x:v>RESOLUTION</x:v>
      </x:c>
      <x:c r="H36" s="73" t="n">
        <x:v>32.2598</x:v>
      </x:c>
      <x:c r="I36" s="73" t="str">
        <x:v>DISCLOSED_COMPLETE</x:v>
      </x:c>
      <x:c r="J36" s="73" t="str">
        <x:v>10K_CNY_REGISTERED_CAPITAL</x:v>
      </x:c>
      <x:c r="K36" s="76"/>
      <x:c r="L36" s="76" t="str">
        <x:v>NOT_APPLICABLE</x:v>
      </x:c>
      <x:c r="M36" s="76"/>
      <x:c r="N36" s="76" t="str">
        <x:v>NOT_APPLICABLE</x:v>
      </x:c>
      <x:c r="O36" s="73" t="n">
        <x:v>11600</x:v>
      </x:c>
      <x:c r="P36" s="73" t="str">
        <x:v>11,600.0000万元</x:v>
      </x:c>
      <x:c r="Q36" s="73" t="str">
        <x:v>CNY</x:v>
      </x:c>
      <x:c r="R36" s="73" t="str">
        <x:v>万元</x:v>
      </x:c>
      <x:c r="S36" s="73" t="str">
        <x:v>DISCLOSED_COMPLETE</x:v>
      </x:c>
      <x:c r="T36" s="73"/>
      <x:c r="U36" s="73" t="str">
        <x:v>NOT_DISCLOSED</x:v>
      </x:c>
      <x:c r="V36" s="30" t="str">
        <x:v>CAPITAL_INCREASE_ENTRY</x:v>
      </x:c>
      <x:c r="W36" s="73" t="str">
        <x:v>CALCULATED</x:v>
      </x:c>
      <x:c r="X36" s="30"/>
      <x:c r="Y36" s="30"/>
      <x:c r="Z36" s="30" t="str">
        <x:v>EVD-688726-0013</x:v>
      </x:c>
      <x:c r="AA36" s="30" t="str">
        <x:v>FINAL_APPROVED</x:v>
      </x:c>
    </x:row>
    <x:row r="37">
      <x:c r="A37" s="30" t="str">
        <x:v>TRX-688726-0033</x:v>
      </x:c>
      <x:c r="B37" s="30" t="str">
        <x:v>EVT-688726-0014</x:v>
      </x:c>
      <x:c r="C37" s="30" t="str">
        <x:v>CAPITAL_INCREASE</x:v>
      </x:c>
      <x:c r="D37" s="30" t="str">
        <x:v>CAPITAL_INCREASE</x:v>
      </x:c>
      <x:c r="E37" s="30" t="str">
        <x:v>2022-07</x:v>
      </x:c>
      <x:c r="F37" s="30" t="str">
        <x:v>2022-07</x:v>
      </x:c>
      <x:c r="G37" s="30" t="str">
        <x:v>RESOLUTION</x:v>
      </x:c>
      <x:c r="H37" s="73" t="n">
        <x:v>44.2183</x:v>
      </x:c>
      <x:c r="I37" s="73" t="str">
        <x:v>DISCLOSED_COMPLETE</x:v>
      </x:c>
      <x:c r="J37" s="73" t="str">
        <x:v>10K_CNY_REGISTERED_CAPITAL</x:v>
      </x:c>
      <x:c r="K37" s="76"/>
      <x:c r="L37" s="76" t="str">
        <x:v>NOT_APPLICABLE</x:v>
      </x:c>
      <x:c r="M37" s="76"/>
      <x:c r="N37" s="76" t="str">
        <x:v>NOT_APPLICABLE</x:v>
      </x:c>
      <x:c r="O37" s="73" t="n">
        <x:v>15900</x:v>
      </x:c>
      <x:c r="P37" s="73" t="str">
        <x:v>15,900.0000万元</x:v>
      </x:c>
      <x:c r="Q37" s="73" t="str">
        <x:v>CNY</x:v>
      </x:c>
      <x:c r="R37" s="73" t="str">
        <x:v>万元</x:v>
      </x:c>
      <x:c r="S37" s="73" t="str">
        <x:v>DISCLOSED_COMPLETE</x:v>
      </x:c>
      <x:c r="T37" s="73"/>
      <x:c r="U37" s="73" t="str">
        <x:v>NOT_DISCLOSED</x:v>
      </x:c>
      <x:c r="V37" s="30" t="str">
        <x:v>CAPITAL_INCREASE_ENTRY</x:v>
      </x:c>
      <x:c r="W37" s="73" t="str">
        <x:v>CALCULATED</x:v>
      </x:c>
      <x:c r="X37" s="30"/>
      <x:c r="Y37" s="30"/>
      <x:c r="Z37" s="30" t="str">
        <x:v>EVD-688726-0014</x:v>
      </x:c>
      <x:c r="AA37" s="30" t="str">
        <x:v>FINAL_APPROVED</x:v>
      </x:c>
    </x:row>
    <x:row r="38">
      <x:c r="A38" s="30" t="str">
        <x:v>TRX-688726-0034</x:v>
      </x:c>
      <x:c r="B38" s="30" t="str">
        <x:v>EVT-688726-0015</x:v>
      </x:c>
      <x:c r="C38" s="30" t="str">
        <x:v>EQUITY_TRANSFER</x:v>
      </x:c>
      <x:c r="D38" s="30" t="str">
        <x:v>EQUITY_TRANSFER</x:v>
      </x:c>
      <x:c r="E38" s="30" t="str">
        <x:v>2022-08</x:v>
      </x:c>
      <x:c r="F38" s="30" t="str">
        <x:v>2022-08</x:v>
      </x:c>
      <x:c r="G38" s="30" t="str">
        <x:v>COMPLETION</x:v>
      </x:c>
      <x:c r="H38" s="73"/>
      <x:c r="I38" s="73" t="str">
        <x:v>NOT_APPLICABLE</x:v>
      </x:c>
      <x:c r="J38" s="73"/>
      <x:c r="K38" s="76"/>
      <x:c r="L38" s="76" t="str">
        <x:v>NOT_APPLICABLE</x:v>
      </x:c>
      <x:c r="M38" s="76" t="n">
        <x:v>0.0095</x:v>
      </x:c>
      <x:c r="N38" s="76" t="str">
        <x:v>DISCLOSED_COMPLETE</x:v>
      </x:c>
      <x:c r="O38" s="73" t="n">
        <x:v>5000</x:v>
      </x:c>
      <x:c r="P38" s="73" t="str">
        <x:v>5,000.0000万元</x:v>
      </x:c>
      <x:c r="Q38" s="73" t="str">
        <x:v>CNY</x:v>
      </x:c>
      <x:c r="R38" s="73" t="str">
        <x:v>万元</x:v>
      </x:c>
      <x:c r="S38" s="73" t="str">
        <x:v>DISCLOSED_COMPLETE</x:v>
      </x:c>
      <x:c r="T38" s="73"/>
      <x:c r="U38" s="73" t="str">
        <x:v>NOT_DISCLOSED</x:v>
      </x:c>
      <x:c r="V38" s="30" t="str">
        <x:v>TRANSFER_ENTRY</x:v>
      </x:c>
      <x:c r="W38" s="73" t="str">
        <x:v>DISCLOSED</x:v>
      </x:c>
      <x:c r="X38" s="30"/>
      <x:c r="Y38" s="30"/>
      <x:c r="Z38" s="30" t="str">
        <x:v>EVD-688726-0015</x:v>
      </x:c>
      <x:c r="AA38" s="30" t="str">
        <x:v>FINAL_APPROVED</x:v>
      </x:c>
    </x:row>
    <x:row r="39">
      <x:c r="A39" s="30" t="str">
        <x:v>TRX-688726-0035</x:v>
      </x:c>
      <x:c r="B39" s="30" t="str">
        <x:v>EVT-688726-0015</x:v>
      </x:c>
      <x:c r="C39" s="30" t="str">
        <x:v>EQUITY_TRANSFER</x:v>
      </x:c>
      <x:c r="D39" s="30" t="str">
        <x:v>EQUITY_TRANSFER</x:v>
      </x:c>
      <x:c r="E39" s="30" t="str">
        <x:v>2022-08</x:v>
      </x:c>
      <x:c r="F39" s="30" t="str">
        <x:v>2022-08</x:v>
      </x:c>
      <x:c r="G39" s="30" t="str">
        <x:v>COMPLETION</x:v>
      </x:c>
      <x:c r="H39" s="73"/>
      <x:c r="I39" s="73" t="str">
        <x:v>NOT_APPLICABLE</x:v>
      </x:c>
      <x:c r="J39" s="73"/>
      <x:c r="K39" s="76"/>
      <x:c r="L39" s="76" t="str">
        <x:v>NOT_APPLICABLE</x:v>
      </x:c>
      <x:c r="M39" s="76" t="n">
        <x:v>0.0072</x:v>
      </x:c>
      <x:c r="N39" s="76" t="str">
        <x:v>DISCLOSED_COMPLETE</x:v>
      </x:c>
      <x:c r="O39" s="73" t="n">
        <x:v>3782.1009</x:v>
      </x:c>
      <x:c r="P39" s="73" t="str">
        <x:v>3,782.1009万元</x:v>
      </x:c>
      <x:c r="Q39" s="73" t="str">
        <x:v>CNY</x:v>
      </x:c>
      <x:c r="R39" s="73" t="str">
        <x:v>万元</x:v>
      </x:c>
      <x:c r="S39" s="73" t="str">
        <x:v>DISCLOSED_COMPLETE</x:v>
      </x:c>
      <x:c r="T39" s="73"/>
      <x:c r="U39" s="73" t="str">
        <x:v>NOT_DISCLOSED</x:v>
      </x:c>
      <x:c r="V39" s="30" t="str">
        <x:v>TRANSFER_ENTRY</x:v>
      </x:c>
      <x:c r="W39" s="73" t="str">
        <x:v>DISCLOSED</x:v>
      </x:c>
      <x:c r="X39" s="30"/>
      <x:c r="Y39" s="30"/>
      <x:c r="Z39" s="30" t="str">
        <x:v>EVD-688726-0015</x:v>
      </x:c>
      <x:c r="AA39" s="30" t="str">
        <x:v>FINAL_APPROVED</x:v>
      </x:c>
    </x:row>
    <x:row r="40">
      <x:c r="A40" s="30" t="str">
        <x:v>TRX-688726-0036</x:v>
      </x:c>
      <x:c r="B40" s="30" t="str">
        <x:v>EVT-688726-0015</x:v>
      </x:c>
      <x:c r="C40" s="30" t="str">
        <x:v>EQUITY_TRANSFER</x:v>
      </x:c>
      <x:c r="D40" s="30" t="str">
        <x:v>EQUITY_TRANSFER</x:v>
      </x:c>
      <x:c r="E40" s="30" t="str">
        <x:v>2022-08</x:v>
      </x:c>
      <x:c r="F40" s="30" t="str">
        <x:v>2022-08</x:v>
      </x:c>
      <x:c r="G40" s="30" t="str">
        <x:v>COMPLETION</x:v>
      </x:c>
      <x:c r="H40" s="73"/>
      <x:c r="I40" s="73" t="str">
        <x:v>NOT_APPLICABLE</x:v>
      </x:c>
      <x:c r="J40" s="73"/>
      <x:c r="K40" s="76"/>
      <x:c r="L40" s="76" t="str">
        <x:v>NOT_APPLICABLE</x:v>
      </x:c>
      <x:c r="M40" s="76" t="n">
        <x:v>0.0038</x:v>
      </x:c>
      <x:c r="N40" s="76" t="str">
        <x:v>DISCLOSED_COMPLETE</x:v>
      </x:c>
      <x:c r="O40" s="73" t="n">
        <x:v>2000</x:v>
      </x:c>
      <x:c r="P40" s="73" t="str">
        <x:v>2,000.0000万元</x:v>
      </x:c>
      <x:c r="Q40" s="73" t="str">
        <x:v>CNY</x:v>
      </x:c>
      <x:c r="R40" s="73" t="str">
        <x:v>万元</x:v>
      </x:c>
      <x:c r="S40" s="73" t="str">
        <x:v>DISCLOSED_COMPLETE</x:v>
      </x:c>
      <x:c r="T40" s="73"/>
      <x:c r="U40" s="73" t="str">
        <x:v>NOT_DISCLOSED</x:v>
      </x:c>
      <x:c r="V40" s="30" t="str">
        <x:v>TRANSFER_ENTRY</x:v>
      </x:c>
      <x:c r="W40" s="73" t="str">
        <x:v>DISCLOSED</x:v>
      </x:c>
      <x:c r="X40" s="30"/>
      <x:c r="Y40" s="30"/>
      <x:c r="Z40" s="30" t="str">
        <x:v>EVD-688726-0015</x:v>
      </x:c>
      <x:c r="AA40" s="30" t="str">
        <x:v>FINAL_APPROVED</x:v>
      </x:c>
    </x:row>
    <x:row r="41">
      <x:c r="A41" s="30" t="str">
        <x:v>TRX-688726-0037</x:v>
      </x:c>
      <x:c r="B41" s="30" t="str">
        <x:v>EVT-688726-0015</x:v>
      </x:c>
      <x:c r="C41" s="30" t="str">
        <x:v>EQUITY_TRANSFER</x:v>
      </x:c>
      <x:c r="D41" s="30" t="str">
        <x:v>EQUITY_TRANSFER</x:v>
      </x:c>
      <x:c r="E41" s="30" t="str">
        <x:v>2022-08</x:v>
      </x:c>
      <x:c r="F41" s="30" t="str">
        <x:v>2022-08</x:v>
      </x:c>
      <x:c r="G41" s="30" t="str">
        <x:v>COMPLETION</x:v>
      </x:c>
      <x:c r="H41" s="73"/>
      <x:c r="I41" s="73" t="str">
        <x:v>NOT_APPLICABLE</x:v>
      </x:c>
      <x:c r="J41" s="73"/>
      <x:c r="K41" s="76"/>
      <x:c r="L41" s="76" t="str">
        <x:v>NOT_APPLICABLE</x:v>
      </x:c>
      <x:c r="M41" s="76" t="n">
        <x:v>0.0011</x:v>
      </x:c>
      <x:c r="N41" s="76" t="str">
        <x:v>DISCLOSED_COMPLETE</x:v>
      </x:c>
      <x:c r="O41" s="73" t="n">
        <x:v>597.5145</x:v>
      </x:c>
      <x:c r="P41" s="73" t="str">
        <x:v>597.5145万元</x:v>
      </x:c>
      <x:c r="Q41" s="73" t="str">
        <x:v>CNY</x:v>
      </x:c>
      <x:c r="R41" s="73" t="str">
        <x:v>万元</x:v>
      </x:c>
      <x:c r="S41" s="73" t="str">
        <x:v>DISCLOSED_COMPLETE</x:v>
      </x:c>
      <x:c r="T41" s="73"/>
      <x:c r="U41" s="73" t="str">
        <x:v>NOT_DISCLOSED</x:v>
      </x:c>
      <x:c r="V41" s="30" t="str">
        <x:v>TRANSFER_ENTRY</x:v>
      </x:c>
      <x:c r="W41" s="73" t="str">
        <x:v>DISCLOSED</x:v>
      </x:c>
      <x:c r="X41" s="30"/>
      <x:c r="Y41" s="30"/>
      <x:c r="Z41" s="30" t="str">
        <x:v>EVD-688726-0015</x:v>
      </x:c>
      <x:c r="AA41" s="30" t="str">
        <x:v>FINAL_APPROVED</x:v>
      </x:c>
    </x:row>
    <x:row r="42">
      <x:c r="A42" s="30" t="str">
        <x:v>TRX-688726-0038</x:v>
      </x:c>
      <x:c r="B42" s="30" t="str">
        <x:v>EVT-688726-0015</x:v>
      </x:c>
      <x:c r="C42" s="30" t="str">
        <x:v>EQUITY_TRANSFER</x:v>
      </x:c>
      <x:c r="D42" s="30" t="str">
        <x:v>EQUITY_TRANSFER</x:v>
      </x:c>
      <x:c r="E42" s="30" t="str">
        <x:v>2022-08</x:v>
      </x:c>
      <x:c r="F42" s="30" t="str">
        <x:v>2022-08</x:v>
      </x:c>
      <x:c r="G42" s="30" t="str">
        <x:v>COMPLETION</x:v>
      </x:c>
      <x:c r="H42" s="73"/>
      <x:c r="I42" s="73" t="str">
        <x:v>NOT_APPLICABLE</x:v>
      </x:c>
      <x:c r="J42" s="73"/>
      <x:c r="K42" s="76"/>
      <x:c r="L42" s="76" t="str">
        <x:v>NOT_APPLICABLE</x:v>
      </x:c>
      <x:c r="M42" s="76" t="n">
        <x:v>0.0161</x:v>
      </x:c>
      <x:c r="N42" s="76" t="str">
        <x:v>DISCLOSED_COMPLETE</x:v>
      </x:c>
      <x:c r="O42" s="73" t="n">
        <x:v>8493.8973</x:v>
      </x:c>
      <x:c r="P42" s="73" t="str">
        <x:v>8,493.8973万元</x:v>
      </x:c>
      <x:c r="Q42" s="73" t="str">
        <x:v>CNY</x:v>
      </x:c>
      <x:c r="R42" s="73" t="str">
        <x:v>万元</x:v>
      </x:c>
      <x:c r="S42" s="73" t="str">
        <x:v>DISCLOSED_COMPLETE</x:v>
      </x:c>
      <x:c r="T42" s="73"/>
      <x:c r="U42" s="73" t="str">
        <x:v>NOT_DISCLOSED</x:v>
      </x:c>
      <x:c r="V42" s="30" t="str">
        <x:v>TRANSFER_ENTRY</x:v>
      </x:c>
      <x:c r="W42" s="73" t="str">
        <x:v>DISCLOSED</x:v>
      </x:c>
      <x:c r="X42" s="30"/>
      <x:c r="Y42" s="30"/>
      <x:c r="Z42" s="30" t="str">
        <x:v>EVD-688726-0015</x:v>
      </x:c>
      <x:c r="AA42" s="30" t="str">
        <x:v>FINAL_APPROVED</x:v>
      </x:c>
    </x:row>
    <x:row r="43">
      <x:c r="A43" s="30" t="str">
        <x:v>TRX-688726-0039</x:v>
      </x:c>
      <x:c r="B43" s="30" t="str">
        <x:v>EVT-688726-0016</x:v>
      </x:c>
      <x:c r="C43" s="30" t="str">
        <x:v>CAPITAL_INCREASE</x:v>
      </x:c>
      <x:c r="D43" s="30" t="str">
        <x:v>CAPITAL_INCREASE</x:v>
      </x:c>
      <x:c r="E43" s="30" t="str">
        <x:v>2022-08</x:v>
      </x:c>
      <x:c r="F43" s="30" t="str">
        <x:v>2022-08</x:v>
      </x:c>
      <x:c r="G43" s="30" t="str">
        <x:v>RESOLUTION</x:v>
      </x:c>
      <x:c r="H43" s="73" t="n">
        <x:v>51.1708</x:v>
      </x:c>
      <x:c r="I43" s="73" t="str">
        <x:v>DISCLOSED_COMPLETE</x:v>
      </x:c>
      <x:c r="J43" s="73" t="str">
        <x:v>10K_CNY_REGISTERED_CAPITAL</x:v>
      </x:c>
      <x:c r="K43" s="76"/>
      <x:c r="L43" s="76" t="str">
        <x:v>NOT_APPLICABLE</x:v>
      </x:c>
      <x:c r="M43" s="76"/>
      <x:c r="N43" s="76" t="str">
        <x:v>NOT_APPLICABLE</x:v>
      </x:c>
      <x:c r="O43" s="73" t="n">
        <x:v>9200</x:v>
      </x:c>
      <x:c r="P43" s="73" t="str">
        <x:v>9,200.0000万元</x:v>
      </x:c>
      <x:c r="Q43" s="73" t="str">
        <x:v>CNY</x:v>
      </x:c>
      <x:c r="R43" s="73" t="str">
        <x:v>万元</x:v>
      </x:c>
      <x:c r="S43" s="73" t="str">
        <x:v>DISCLOSED_COMPLETE</x:v>
      </x:c>
      <x:c r="T43" s="73"/>
      <x:c r="U43" s="73" t="str">
        <x:v>NOT_DISCLOSED</x:v>
      </x:c>
      <x:c r="V43" s="30" t="str">
        <x:v>CAPITAL_INCREASE_ENTRY</x:v>
      </x:c>
      <x:c r="W43" s="73" t="str">
        <x:v>DISCLOSED</x:v>
      </x:c>
      <x:c r="X43" s="30"/>
      <x:c r="Y43" s="30"/>
      <x:c r="Z43" s="30" t="str">
        <x:v>EVD-688726-0016</x:v>
      </x:c>
      <x:c r="AA43" s="30" t="str">
        <x:v>FINAL_APPROVED</x:v>
      </x:c>
    </x:row>
    <x:row r="44">
      <x:c r="A44" s="30" t="str">
        <x:v>TRX-688726-0040</x:v>
      </x:c>
      <x:c r="B44" s="30" t="str">
        <x:v>EVT-688726-0017</x:v>
      </x:c>
      <x:c r="C44" s="30" t="str">
        <x:v>EQUITY_TRANSFER</x:v>
      </x:c>
      <x:c r="D44" s="30" t="str">
        <x:v>EQUITY_TRANSFER</x:v>
      </x:c>
      <x:c r="E44" s="30" t="str">
        <x:v>2022-11</x:v>
      </x:c>
      <x:c r="F44" s="30" t="str">
        <x:v>2022-11</x:v>
      </x:c>
      <x:c r="G44" s="30" t="str">
        <x:v>COMPLETION</x:v>
      </x:c>
      <x:c r="H44" s="73"/>
      <x:c r="I44" s="73" t="str">
        <x:v>NOT_APPLICABLE</x:v>
      </x:c>
      <x:c r="J44" s="73"/>
      <x:c r="K44" s="76"/>
      <x:c r="L44" s="76" t="str">
        <x:v>NOT_APPLICABLE</x:v>
      </x:c>
      <x:c r="M44" s="76" t="n">
        <x:v>0.0039</x:v>
      </x:c>
      <x:c r="N44" s="76" t="str">
        <x:v>DISCLOSED_COMPLETE</x:v>
      </x:c>
      <x:c r="O44" s="73" t="n">
        <x:v>2430.3087</x:v>
      </x:c>
      <x:c r="P44" s="73" t="str">
        <x:v>2,430.3087万元</x:v>
      </x:c>
      <x:c r="Q44" s="73" t="str">
        <x:v>CNY</x:v>
      </x:c>
      <x:c r="R44" s="73" t="str">
        <x:v>万元</x:v>
      </x:c>
      <x:c r="S44" s="73" t="str">
        <x:v>DISCLOSED_COMPLETE</x:v>
      </x:c>
      <x:c r="T44" s="73"/>
      <x:c r="U44" s="73" t="str">
        <x:v>NOT_DISCLOSED</x:v>
      </x:c>
      <x:c r="V44" s="30" t="str">
        <x:v>TRANSFER_ENTRY</x:v>
      </x:c>
      <x:c r="W44" s="73" t="str">
        <x:v>DISCLOSED</x:v>
      </x:c>
      <x:c r="X44" s="30"/>
      <x:c r="Y44" s="30"/>
      <x:c r="Z44" s="30" t="str">
        <x:v>EVD-688726-0017</x:v>
      </x:c>
      <x:c r="AA44" s="30" t="str">
        <x:v>FINAL_APPROVED</x:v>
      </x:c>
    </x:row>
    <x:row r="45">
      <x:c r="A45" s="30" t="str">
        <x:v>TRX-688726-0041</x:v>
      </x:c>
      <x:c r="B45" s="30" t="str">
        <x:v>EVT-688726-0017</x:v>
      </x:c>
      <x:c r="C45" s="30" t="str">
        <x:v>EQUITY_TRANSFER</x:v>
      </x:c>
      <x:c r="D45" s="30" t="str">
        <x:v>EQUITY_TRANSFER</x:v>
      </x:c>
      <x:c r="E45" s="30" t="str">
        <x:v>2022-11</x:v>
      </x:c>
      <x:c r="F45" s="30" t="str">
        <x:v>2022-11</x:v>
      </x:c>
      <x:c r="G45" s="30" t="str">
        <x:v>COMPLETION</x:v>
      </x:c>
      <x:c r="H45" s="73"/>
      <x:c r="I45" s="73" t="str">
        <x:v>NOT_APPLICABLE</x:v>
      </x:c>
      <x:c r="J45" s="73"/>
      <x:c r="K45" s="76"/>
      <x:c r="L45" s="76" t="str">
        <x:v>NOT_APPLICABLE</x:v>
      </x:c>
      <x:c r="M45" s="76" t="n">
        <x:v>0.0048</x:v>
      </x:c>
      <x:c r="N45" s="76" t="str">
        <x:v>DISCLOSED_COMPLETE</x:v>
      </x:c>
      <x:c r="O45" s="73" t="n">
        <x:v>3050.3663</x:v>
      </x:c>
      <x:c r="P45" s="73" t="str">
        <x:v>3,050.3663万元</x:v>
      </x:c>
      <x:c r="Q45" s="73" t="str">
        <x:v>CNY</x:v>
      </x:c>
      <x:c r="R45" s="73" t="str">
        <x:v>万元</x:v>
      </x:c>
      <x:c r="S45" s="73" t="str">
        <x:v>DISCLOSED_COMPLETE</x:v>
      </x:c>
      <x:c r="T45" s="73"/>
      <x:c r="U45" s="73" t="str">
        <x:v>NOT_DISCLOSED</x:v>
      </x:c>
      <x:c r="V45" s="30" t="str">
        <x:v>TRANSFER_ENTRY</x:v>
      </x:c>
      <x:c r="W45" s="73" t="str">
        <x:v>DISCLOSED</x:v>
      </x:c>
      <x:c r="X45" s="30"/>
      <x:c r="Y45" s="30"/>
      <x:c r="Z45" s="30" t="str">
        <x:v>EVD-688726-0017</x:v>
      </x:c>
      <x:c r="AA45" s="30" t="str">
        <x:v>FINAL_APPROVED</x:v>
      </x:c>
    </x:row>
    <x:row r="46">
      <x:c r="A46" s="30" t="str">
        <x:v>TRX-688726-0042</x:v>
      </x:c>
      <x:c r="B46" s="30" t="str">
        <x:v>EVT-688726-0017</x:v>
      </x:c>
      <x:c r="C46" s="30" t="str">
        <x:v>EQUITY_TRANSFER</x:v>
      </x:c>
      <x:c r="D46" s="30" t="str">
        <x:v>EQUITY_TRANSFER</x:v>
      </x:c>
      <x:c r="E46" s="30" t="str">
        <x:v>2022-11</x:v>
      </x:c>
      <x:c r="F46" s="30" t="str">
        <x:v>2022-11</x:v>
      </x:c>
      <x:c r="G46" s="30" t="str">
        <x:v>COMPLETION</x:v>
      </x:c>
      <x:c r="H46" s="73"/>
      <x:c r="I46" s="73" t="str">
        <x:v>NOT_APPLICABLE</x:v>
      </x:c>
      <x:c r="J46" s="73"/>
      <x:c r="K46" s="76"/>
      <x:c r="L46" s="76" t="str">
        <x:v>NOT_APPLICABLE</x:v>
      </x:c>
      <x:c r="M46" s="76" t="n">
        <x:v>0.0024</x:v>
      </x:c>
      <x:c r="N46" s="76" t="str">
        <x:v>DISCLOSED_COMPLETE</x:v>
      </x:c>
      <x:c r="O46" s="73" t="n">
        <x:v>1525.2039</x:v>
      </x:c>
      <x:c r="P46" s="73" t="str">
        <x:v>1,525.2039万元</x:v>
      </x:c>
      <x:c r="Q46" s="73" t="str">
        <x:v>CNY</x:v>
      </x:c>
      <x:c r="R46" s="73" t="str">
        <x:v>万元</x:v>
      </x:c>
      <x:c r="S46" s="73" t="str">
        <x:v>DISCLOSED_COMPLETE</x:v>
      </x:c>
      <x:c r="T46" s="73"/>
      <x:c r="U46" s="73" t="str">
        <x:v>NOT_DISCLOSED</x:v>
      </x:c>
      <x:c r="V46" s="30" t="str">
        <x:v>TRANSFER_ENTRY</x:v>
      </x:c>
      <x:c r="W46" s="73" t="str">
        <x:v>DISCLOSED</x:v>
      </x:c>
      <x:c r="X46" s="30"/>
      <x:c r="Y46" s="30"/>
      <x:c r="Z46" s="30" t="str">
        <x:v>EVD-688726-0017</x:v>
      </x:c>
      <x:c r="AA46" s="30" t="str">
        <x:v>FINAL_APPROVED</x:v>
      </x:c>
    </x:row>
    <x:row r="47">
      <x:c r="A47" s="30" t="str">
        <x:v>TRX-688726-0043</x:v>
      </x:c>
      <x:c r="B47" s="30" t="str">
        <x:v>EVT-688726-0018</x:v>
      </x:c>
      <x:c r="C47" s="30" t="str">
        <x:v>CAPITAL_INCREASE</x:v>
      </x:c>
      <x:c r="D47" s="30" t="str">
        <x:v>CAPITAL_INCREASE</x:v>
      </x:c>
      <x:c r="E47" s="30" t="str">
        <x:v>2022-12</x:v>
      </x:c>
      <x:c r="F47" s="30" t="str">
        <x:v>2022-12</x:v>
      </x:c>
      <x:c r="G47" s="30" t="str">
        <x:v>RESOLUTION</x:v>
      </x:c>
      <x:c r="H47" s="73" t="n">
        <x:v>147.2615</x:v>
      </x:c>
      <x:c r="I47" s="73" t="str">
        <x:v>DISCLOSED_COMPLETE</x:v>
      </x:c>
      <x:c r="J47" s="73" t="str">
        <x:v>10K_SHARE</x:v>
      </x:c>
      <x:c r="K47" s="76"/>
      <x:c r="L47" s="76" t="str">
        <x:v>NOT_APPLICABLE</x:v>
      </x:c>
      <x:c r="M47" s="76"/>
      <x:c r="N47" s="76" t="str">
        <x:v>NOT_APPLICABLE</x:v>
      </x:c>
      <x:c r="O47" s="73" t="n">
        <x:v>67900</x:v>
      </x:c>
      <x:c r="P47" s="73" t="str">
        <x:v>67,900.0000万元</x:v>
      </x:c>
      <x:c r="Q47" s="73" t="str">
        <x:v>CNY</x:v>
      </x:c>
      <x:c r="R47" s="73" t="str">
        <x:v>万元</x:v>
      </x:c>
      <x:c r="S47" s="73" t="str">
        <x:v>DISCLOSED_COMPLETE</x:v>
      </x:c>
      <x:c r="T47" s="73"/>
      <x:c r="U47" s="73" t="str">
        <x:v>NOT_DISCLOSED</x:v>
      </x:c>
      <x:c r="V47" s="30" t="str">
        <x:v>CAPITAL_INCREASE_ENTRY</x:v>
      </x:c>
      <x:c r="W47" s="73" t="str">
        <x:v>CALCULATED</x:v>
      </x:c>
      <x:c r="X47" s="30"/>
      <x:c r="Y47" s="30"/>
      <x:c r="Z47" s="30" t="str">
        <x:v>EVD-688726-0018</x:v>
      </x:c>
      <x:c r="AA47" s="30" t="str">
        <x:v>FINAL_APPROVED</x:v>
      </x:c>
    </x:row>
    <x:row r="48">
      <x:c r="A48" s="30" t="str">
        <x:v>TRX-688726-0044</x:v>
      </x:c>
      <x:c r="B48" s="30" t="str">
        <x:v>EVT-688726-0020</x:v>
      </x:c>
      <x:c r="C48" s="30" t="str">
        <x:v>CAPITAL_INCREASE</x:v>
      </x:c>
      <x:c r="D48" s="30" t="str">
        <x:v>CAPITAL_INCREASE</x:v>
      </x:c>
      <x:c r="E48" s="30" t="str">
        <x:v>2022-12</x:v>
      </x:c>
      <x:c r="F48" s="30" t="str">
        <x:v>2022-12</x:v>
      </x:c>
      <x:c r="G48" s="30" t="str">
        <x:v>RESOLUTION</x:v>
      </x:c>
      <x:c r="H48" s="73" t="n">
        <x:v>479.357</x:v>
      </x:c>
      <x:c r="I48" s="73" t="str">
        <x:v>DISCLOSED_COMPLETE</x:v>
      </x:c>
      <x:c r="J48" s="73" t="str">
        <x:v>10K_SHARE</x:v>
      </x:c>
      <x:c r="K48" s="76"/>
      <x:c r="L48" s="76" t="str">
        <x:v>NOT_APPLICABLE</x:v>
      </x:c>
      <x:c r="M48" s="76"/>
      <x:c r="N48" s="76" t="str">
        <x:v>NOT_APPLICABLE</x:v>
      </x:c>
      <x:c r="O48" s="73" t="n">
        <x:v>3987</x:v>
      </x:c>
      <x:c r="P48" s="73" t="str">
        <x:v>3,987.0000万元</x:v>
      </x:c>
      <x:c r="Q48" s="73" t="str">
        <x:v>CNY</x:v>
      </x:c>
      <x:c r="R48" s="73" t="str">
        <x:v>万元</x:v>
      </x:c>
      <x:c r="S48" s="73" t="str">
        <x:v>DISCLOSED_COMPLETE</x:v>
      </x:c>
      <x:c r="T48" s="73"/>
      <x:c r="U48" s="73" t="str">
        <x:v>NOT_DISCLOSED</x:v>
      </x:c>
      <x:c r="V48" s="30" t="str">
        <x:v>CAPITAL_INCREASE_ENTRY</x:v>
      </x:c>
      <x:c r="W48" s="73" t="str">
        <x:v>DISCLOSED</x:v>
      </x:c>
      <x:c r="X48" s="30"/>
      <x:c r="Y48" s="30"/>
      <x:c r="Z48" s="30" t="str">
        <x:v>EVD-688726-0020</x:v>
      </x:c>
      <x:c r="AA48" s="30" t="str">
        <x:v>FINAL_APPROVED</x:v>
      </x:c>
    </x:row>
    <x:row r="49">
      <x:c r="A49" s="30" t="str">
        <x:v>TRX-688726-0045</x:v>
      </x:c>
      <x:c r="B49" s="30" t="str">
        <x:v>EVT-688726-OC</x:v>
      </x:c>
      <x:c r="C49" s="30" t="str">
        <x:v>OVERALL_CHANGE</x:v>
      </x:c>
      <x:c r="D49" s="30" t="str">
        <x:v>OVERALL_CHANGE</x:v>
      </x:c>
      <x:c r="E49" s="30" t="str">
        <x:v>2022-11</x:v>
      </x:c>
      <x:c r="F49" s="30" t="str">
        <x:v>2022-11</x:v>
      </x:c>
      <x:c r="G49" s="30" t="str">
        <x:v>RESOLUTION</x:v>
      </x:c>
      <x:c r="H49" s="73"/>
      <x:c r="I49" s="73" t="str">
        <x:v>NOT_APPLICABLE</x:v>
      </x:c>
      <x:c r="J49" s="73"/>
      <x:c r="K49" s="76"/>
      <x:c r="L49" s="76" t="str">
        <x:v>NOT_APPLICABLE</x:v>
      </x:c>
      <x:c r="M49" s="76"/>
      <x:c r="N49" s="76" t="str">
        <x:v>NOT_APPLICABLE</x:v>
      </x:c>
      <x:c r="O49" s="73"/>
      <x:c r="P49" s="73"/>
      <x:c r="Q49" s="73"/>
      <x:c r="R49" s="73"/>
      <x:c r="S49" s="73" t="str">
        <x:v>NOT_APPLICABLE</x:v>
      </x:c>
      <x:c r="T49" s="73"/>
      <x:c r="U49" s="73" t="str">
        <x:v>NOT_DISCLOSED</x:v>
      </x:c>
      <x:c r="V49" s="30" t="str">
        <x:v>NOT_APPLICABLE</x:v>
      </x:c>
      <x:c r="W49" s="73"/>
      <x:c r="X49" s="30"/>
      <x:c r="Y49" s="30"/>
      <x:c r="Z49" s="30" t="str">
        <x:v>EVD-688726-0098</x:v>
      </x:c>
      <x:c r="AA49" s="30" t="str">
        <x:v>FINAL_APPROVED</x:v>
      </x:c>
    </x:row>
    <x:row r="50">
      <x:c r="A50" s="31" t="str">
        <x:v>TRX-688726-0046</x:v>
      </x:c>
      <x:c r="B50" s="31" t="str">
        <x:v>EVT-688726-0019</x:v>
      </x:c>
      <x:c r="C50" s="31" t="str">
        <x:v>SHARE_CAPITAL_CHANGE</x:v>
      </x:c>
      <x:c r="D50" s="31" t="str">
        <x:v>SHARE_CAPITAL_CHANGE</x:v>
      </x:c>
      <x:c r="E50" s="31" t="str">
        <x:v>2022-12</x:v>
      </x:c>
      <x:c r="F50" s="31" t="str">
        <x:v>2022-12</x:v>
      </x:c>
      <x:c r="G50" s="31" t="str">
        <x:v>RESOLUTION</x:v>
      </x:c>
      <x:c r="H50" s="74" t="n">
        <x:v>34334.5795</x:v>
      </x:c>
      <x:c r="I50" s="74" t="str">
        <x:v>DISCLOSED_COMPLETE</x:v>
      </x:c>
      <x:c r="J50" s="74" t="str">
        <x:v>10K_SHARE</x:v>
      </x:c>
      <x:c r="K50" s="77"/>
      <x:c r="L50" s="77" t="str">
        <x:v>NOT_APPLICABLE</x:v>
      </x:c>
      <x:c r="M50" s="77"/>
      <x:c r="N50" s="77" t="str">
        <x:v>NOT_APPLICABLE</x:v>
      </x:c>
      <x:c r="O50" s="74"/>
      <x:c r="P50" s="74"/>
      <x:c r="Q50" s="74"/>
      <x:c r="R50" s="74"/>
      <x:c r="S50" s="74" t="str">
        <x:v>NOT_APPLICABLE</x:v>
      </x:c>
      <x:c r="T50" s="74"/>
      <x:c r="U50" s="74" t="str">
        <x:v>NOT_DISCLOSED</x:v>
      </x:c>
      <x:c r="V50" s="31" t="str">
        <x:v>NOT_APPLICABLE</x:v>
      </x:c>
      <x:c r="W50" s="74"/>
      <x:c r="X50" s="31"/>
      <x:c r="Y50" s="31"/>
      <x:c r="Z50" s="31" t="str">
        <x:v>EVD-688726-0019</x:v>
      </x:c>
      <x:c r="AA50" s="31" t="str">
        <x:v>FINAL_APPROVED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24" hidden="0" customWidth="1"/>
    <x:col min="14" max="14" width="24" hidden="0" customWidth="1"/>
    <x:col min="15" max="15" width="18" hidden="0" customWidth="1"/>
    <x:col min="16" max="16" width="24" hidden="0" customWidth="1"/>
  </x:cols>
  <x:sheetData>
    <x:row r="1" ht="30" customHeight="1">
      <x:c r="A1" s="3" t="str">
        <x:v>entities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</x:row>
    <x:row r="4" ht="30" customHeight="1">
      <x:c r="A4" s="19" t="str">
        <x:v>entity_id</x:v>
      </x:c>
      <x:c r="B4" s="20" t="str">
        <x:v>entity_namespace</x:v>
      </x:c>
      <x:c r="C4" s="20" t="str">
        <x:v>source_entity_id</x:v>
      </x:c>
      <x:c r="D4" s="20" t="str">
        <x:v>entity_name_original</x:v>
      </x:c>
      <x:c r="E4" s="20" t="str">
        <x:v>entity_name_standard</x:v>
      </x:c>
      <x:c r="F4" s="20" t="str">
        <x:v>entity_name_status</x:v>
      </x:c>
      <x:c r="G4" s="20" t="str">
        <x:v>entity_type_source</x:v>
      </x:c>
      <x:c r="H4" s="20" t="str">
        <x:v>entity_type_standardized</x:v>
      </x:c>
      <x:c r="I4" s="20" t="str">
        <x:v>entity_type_status</x:v>
      </x:c>
      <x:c r="J4" s="20" t="str">
        <x:v>source_pevc_status</x:v>
      </x:c>
      <x:c r="K4" s="20" t="str">
        <x:v>standardized_pevc_status</x:v>
      </x:c>
      <x:c r="L4" s="20" t="str">
        <x:v>pevc_basis</x:v>
      </x:c>
      <x:c r="M4" s="20" t="str">
        <x:v>canonical_entity_id</x:v>
      </x:c>
      <x:c r="N4" s="20" t="str">
        <x:v>alias_group_id</x:v>
      </x:c>
      <x:c r="O4" s="20" t="str">
        <x:v>manual_review_required</x:v>
      </x:c>
      <x:c r="P4" s="21" t="str">
        <x:v>review_status</x:v>
      </x:c>
    </x:row>
    <x:row r="5">
      <x:c r="A5" s="29" t="str">
        <x:v>STD-688726-ISSUER</x:v>
      </x:c>
      <x:c r="B5" s="29" t="str">
        <x:v>STANDARD</x:v>
      </x:c>
      <x:c r="C5" s="29" t="str">
        <x:v>STD-688726-ISSUER</x:v>
      </x:c>
      <x:c r="D5" s="29" t="str">
        <x:v>拉普拉斯新能源科技股份有限公司</x:v>
      </x:c>
      <x:c r="E5" s="29" t="str">
        <x:v>拉普拉斯新能源科技股份有限公司</x:v>
      </x:c>
      <x:c r="F5" s="29" t="str">
        <x:v>RECOVERED_ACCEPTED_NAME</x:v>
      </x:c>
      <x:c r="G5" s="29" t="str">
        <x:v>COMPANY</x:v>
      </x:c>
      <x:c r="H5" s="29" t="str">
        <x:v>COMPANY</x:v>
      </x:c>
      <x:c r="I5" s="29" t="str">
        <x:v>CONFIRMED</x:v>
      </x:c>
      <x:c r="J5" s="29" t="str">
        <x:v>PEVC_EXCLUDED</x:v>
      </x:c>
      <x:c r="K5" s="29" t="str">
        <x:v>PEVC_EXCLUDED</x:v>
      </x:c>
      <x:c r="L5" s="29" t="str">
        <x:v>发行人主体。</x:v>
      </x:c>
      <x:c r="M5" s="29" t="str">
        <x:v>STD-688726-ISSUER</x:v>
      </x:c>
      <x:c r="N5" s="29"/>
      <x:c r="O5" s="69" t="b">
        <x:v>0</x:v>
      </x:c>
      <x:c r="P5" s="29" t="str">
        <x:v>FINAL_APPROVED</x:v>
      </x:c>
    </x:row>
    <x:row r="6">
      <x:c r="A6" s="30" t="str">
        <x:v>STD-688726-001</x:v>
      </x:c>
      <x:c r="B6" s="30" t="str">
        <x:v>STANDARD</x:v>
      </x:c>
      <x:c r="C6" s="30" t="str">
        <x:v>STD-688726-001</x:v>
      </x:c>
      <x:c r="D6" s="30" t="str">
        <x:v>三亚恒嘉</x:v>
      </x:c>
      <x:c r="E6" s="30" t="str">
        <x:v>三亚恒嘉股权投资基金合伙企业（有限合伙）</x:v>
      </x:c>
      <x:c r="F6" s="30" t="str">
        <x:v>RECOVERED_ACCEPTED_NAME</x:v>
      </x:c>
      <x:c r="G6" s="30" t="str">
        <x:v>FUND</x:v>
      </x:c>
      <x:c r="H6" s="30" t="str">
        <x:v>FUND</x:v>
      </x:c>
      <x:c r="I6" s="30" t="str">
        <x:v>CONFIRMED</x:v>
      </x:c>
      <x:c r="J6" s="30" t="str">
        <x:v>PEVC_CONFIRMED</x:v>
      </x:c>
      <x:c r="K6" s="30" t="str">
        <x:v>PEVC_CONFIRMED</x:v>
      </x:c>
      <x:c r="L6" s="30" t="str">
        <x:v>招股书私募基金备案表列示基金编号及管理人。</x:v>
      </x:c>
      <x:c r="M6" s="30" t="str">
        <x:v>STD-688726-001</x:v>
      </x:c>
      <x:c r="N6" s="30"/>
      <x:c r="O6" s="70" t="b">
        <x:v>0</x:v>
      </x:c>
      <x:c r="P6" s="30" t="str">
        <x:v>FINAL_APPROVED</x:v>
      </x:c>
    </x:row>
    <x:row r="7">
      <x:c r="A7" s="30" t="str">
        <x:v>STD-688726-002</x:v>
      </x:c>
      <x:c r="B7" s="30" t="str">
        <x:v>STANDARD</x:v>
      </x:c>
      <x:c r="C7" s="30" t="str">
        <x:v>STD-688726-002</x:v>
      </x:c>
      <x:c r="D7" s="30" t="str">
        <x:v>上海淳和</x:v>
      </x:c>
      <x:c r="E7" s="30" t="str">
        <x:v>上海淳和投资中心（有限合伙）</x:v>
      </x:c>
      <x:c r="F7" s="30" t="str">
        <x:v>RECOVERED_ACCEPTED_NAME</x:v>
      </x:c>
      <x:c r="G7" s="30" t="str">
        <x:v>PARTNERSHIP</x:v>
      </x:c>
      <x:c r="H7" s="30" t="str">
        <x:v>PARTNERSHIP</x:v>
      </x:c>
      <x:c r="I7" s="30" t="str">
        <x:v>CONFIRMED</x:v>
      </x:c>
      <x:c r="J7" s="30" t="str">
        <x:v>PEVC_CANDIDATE</x:v>
      </x:c>
      <x:c r="K7" s="30" t="str">
        <x:v>PEVC_CANDIDATE</x:v>
      </x:c>
      <x:c r="L7" s="30" t="str">
        <x:v>具有投资机构名称或经营属性，但未进入本次招股书29名备案私募基金清单，保守列候选。</x:v>
      </x:c>
      <x:c r="M7" s="30" t="str">
        <x:v>STD-688726-002</x:v>
      </x:c>
      <x:c r="N7" s="30"/>
      <x:c r="O7" s="70" t="b">
        <x:v>1</x:v>
      </x:c>
      <x:c r="P7" s="30" t="str">
        <x:v>ACCEPTED_LIMITATION</x:v>
      </x:c>
    </x:row>
    <x:row r="8">
      <x:c r="A8" s="30" t="str">
        <x:v>STD-688726-003</x:v>
      </x:c>
      <x:c r="B8" s="30" t="str">
        <x:v>STANDARD</x:v>
      </x:c>
      <x:c r="C8" s="30" t="str">
        <x:v>STD-688726-003</x:v>
      </x:c>
      <x:c r="D8" s="30" t="str">
        <x:v>上饶弘信</x:v>
      </x:c>
      <x:c r="E8" s="30" t="str">
        <x:v>上饶市弘信股权投资有限公司</x:v>
      </x:c>
      <x:c r="F8" s="30" t="str">
        <x:v>RECOVERED_ACCEPTED_NAME</x:v>
      </x:c>
      <x:c r="G8" s="30" t="str">
        <x:v>COMPANY</x:v>
      </x:c>
      <x:c r="H8" s="30" t="str">
        <x:v>COMPANY</x:v>
      </x:c>
      <x:c r="I8" s="30" t="str">
        <x:v>CONFIRMED</x:v>
      </x:c>
      <x:c r="J8" s="30" t="str">
        <x:v>PEVC_CANDIDATE</x:v>
      </x:c>
      <x:c r="K8" s="30" t="str">
        <x:v>PEVC_CANDIDATE</x:v>
      </x:c>
      <x:c r="L8" s="30" t="str">
        <x:v>具有投资机构名称或经营属性，但未进入本次招股书29名备案私募基金清单，保守列候选。</x:v>
      </x:c>
      <x:c r="M8" s="30" t="str">
        <x:v>STD-688726-003</x:v>
      </x:c>
      <x:c r="N8" s="30"/>
      <x:c r="O8" s="70" t="b">
        <x:v>1</x:v>
      </x:c>
      <x:c r="P8" s="30" t="str">
        <x:v>ACCEPTED_LIMITATION</x:v>
      </x:c>
    </x:row>
    <x:row r="9">
      <x:c r="A9" s="30" t="str">
        <x:v>STD-688726-004</x:v>
      </x:c>
      <x:c r="B9" s="30" t="str">
        <x:v>STANDARD</x:v>
      </x:c>
      <x:c r="C9" s="30" t="str">
        <x:v>STD-688726-004</x:v>
      </x:c>
      <x:c r="D9" s="30" t="str">
        <x:v>上饶长鑫</x:v>
      </x:c>
      <x:c r="E9" s="30" t="str">
        <x:v>上饶市长鑫壹号企业管理中心（有限合伙）</x:v>
      </x:c>
      <x:c r="F9" s="30" t="str">
        <x:v>RECOVERED_ACCEPTED_NAME</x:v>
      </x:c>
      <x:c r="G9" s="30" t="str">
        <x:v>PARTNERSHIP</x:v>
      </x:c>
      <x:c r="H9" s="30" t="str">
        <x:v>PARTNERSHIP</x:v>
      </x:c>
      <x:c r="I9" s="30" t="str">
        <x:v>CONFIRMED</x:v>
      </x:c>
      <x:c r="J9" s="30" t="str">
        <x:v>PEVC_EXCLUDED</x:v>
      </x:c>
      <x:c r="K9" s="30" t="str">
        <x:v>PEVC_EXCLUDED</x:v>
      </x:c>
      <x:c r="L9" s="30" t="str">
        <x:v>未获得足以确认PE/VC的招股书证据。</x:v>
      </x:c>
      <x:c r="M9" s="30" t="str">
        <x:v>STD-688726-004</x:v>
      </x:c>
      <x:c r="N9" s="30"/>
      <x:c r="O9" s="70" t="b">
        <x:v>0</x:v>
      </x:c>
      <x:c r="P9" s="30" t="str">
        <x:v>FINAL_APPROVED</x:v>
      </x:c>
    </x:row>
    <x:row r="10">
      <x:c r="A10" s="30" t="str">
        <x:v>STD-688726-005</x:v>
      </x:c>
      <x:c r="B10" s="30" t="str">
        <x:v>STANDARD</x:v>
      </x:c>
      <x:c r="C10" s="30" t="str">
        <x:v>STD-688726-005</x:v>
      </x:c>
      <x:c r="D10" s="30" t="str">
        <x:v>何江涛</x:v>
      </x:c>
      <x:c r="E10" s="30" t="str">
        <x:v>何江涛</x:v>
      </x:c>
      <x:c r="F10" s="30" t="str">
        <x:v>RECOVERED_ACCEPTED_NAME</x:v>
      </x:c>
      <x:c r="G10" s="30" t="str">
        <x:v>NATURAL_PERSON</x:v>
      </x:c>
      <x:c r="H10" s="30" t="str">
        <x:v>NATURAL_PERSON</x:v>
      </x:c>
      <x:c r="I10" s="30" t="str">
        <x:v>CONFIRMED</x:v>
      </x:c>
      <x:c r="J10" s="30" t="str">
        <x:v>PEVC_EXCLUDED</x:v>
      </x:c>
      <x:c r="K10" s="30" t="str">
        <x:v>PEVC_EXCLUDED</x:v>
      </x:c>
      <x:c r="L10" s="30" t="str">
        <x:v>自然人，不计入PE/VC法律主体。</x:v>
      </x:c>
      <x:c r="M10" s="30" t="str">
        <x:v>STD-688726-005</x:v>
      </x:c>
      <x:c r="N10" s="30"/>
      <x:c r="O10" s="70" t="b">
        <x:v>0</x:v>
      </x:c>
      <x:c r="P10" s="30" t="str">
        <x:v>FINAL_APPROVED</x:v>
      </x:c>
    </x:row>
    <x:row r="11">
      <x:c r="A11" s="30" t="str">
        <x:v>STD-688726-006</x:v>
      </x:c>
      <x:c r="B11" s="30" t="str">
        <x:v>STANDARD</x:v>
      </x:c>
      <x:c r="C11" s="30" t="str">
        <x:v>STD-688726-006</x:v>
      </x:c>
      <x:c r="D11" s="30" t="str">
        <x:v>傅立叶合伙</x:v>
      </x:c>
      <x:c r="E11" s="30" t="str">
        <x:v>深圳市傅立叶企业管理合伙企业（有限合伙）</x:v>
      </x:c>
      <x:c r="F11" s="30" t="str">
        <x:v>RECOVERED_ACCEPTED_NAME</x:v>
      </x:c>
      <x:c r="G11" s="30" t="str">
        <x:v>EMPLOYEE_PLATFORM</x:v>
      </x:c>
      <x:c r="H11" s="30" t="str">
        <x:v>EMPLOYEE_PLATFORM</x:v>
      </x:c>
      <x:c r="I11" s="30" t="str">
        <x:v>CONFIRMED</x:v>
      </x:c>
      <x:c r="J11" s="30" t="str">
        <x:v>PEVC_EXCLUDED</x:v>
      </x:c>
      <x:c r="K11" s="30" t="str">
        <x:v>PEVC_EXCLUDED</x:v>
      </x:c>
      <x:c r="L11" s="30" t="str">
        <x:v>招股书明确为实际控制人控制的员工/持股平台。</x:v>
      </x:c>
      <x:c r="M11" s="30" t="str">
        <x:v>STD-688726-006</x:v>
      </x:c>
      <x:c r="N11" s="30"/>
      <x:c r="O11" s="70" t="b">
        <x:v>0</x:v>
      </x:c>
      <x:c r="P11" s="30" t="str">
        <x:v>FINAL_APPROVED</x:v>
      </x:c>
    </x:row>
    <x:row r="12">
      <x:c r="A12" s="30" t="str">
        <x:v>STD-688726-007</x:v>
      </x:c>
      <x:c r="B12" s="30" t="str">
        <x:v>STANDARD</x:v>
      </x:c>
      <x:c r="C12" s="30" t="str">
        <x:v>STD-688726-007</x:v>
      </x:c>
      <x:c r="D12" s="30" t="str">
        <x:v>共济合伙</x:v>
      </x:c>
      <x:c r="E12" s="30" t="str">
        <x:v>深圳共济专业技术合伙企业（有限合伙）</x:v>
      </x:c>
      <x:c r="F12" s="30" t="str">
        <x:v>RECOVERED_ACCEPTED_NAME</x:v>
      </x:c>
      <x:c r="G12" s="30" t="str">
        <x:v>EMPLOYEE_PLATFORM</x:v>
      </x:c>
      <x:c r="H12" s="30" t="str">
        <x:v>EMPLOYEE_PLATFORM</x:v>
      </x:c>
      <x:c r="I12" s="30" t="str">
        <x:v>CONFIRMED</x:v>
      </x:c>
      <x:c r="J12" s="30" t="str">
        <x:v>PEVC_EXCLUDED</x:v>
      </x:c>
      <x:c r="K12" s="30" t="str">
        <x:v>PEVC_EXCLUDED</x:v>
      </x:c>
      <x:c r="L12" s="30" t="str">
        <x:v>招股书明确为实际控制人控制的员工/持股平台。</x:v>
      </x:c>
      <x:c r="M12" s="30" t="str">
        <x:v>STD-688726-007</x:v>
      </x:c>
      <x:c r="N12" s="30"/>
      <x:c r="O12" s="70" t="b">
        <x:v>0</x:v>
      </x:c>
      <x:c r="P12" s="30" t="str">
        <x:v>FINAL_APPROVED</x:v>
      </x:c>
    </x:row>
    <x:row r="13">
      <x:c r="A13" s="30" t="str">
        <x:v>STD-688726-008</x:v>
      </x:c>
      <x:c r="B13" s="30" t="str">
        <x:v>STANDARD</x:v>
      </x:c>
      <x:c r="C13" s="30" t="str">
        <x:v>STD-688726-008</x:v>
      </x:c>
      <x:c r="D13" s="30" t="str">
        <x:v>兴睿兴元</x:v>
      </x:c>
      <x:c r="E13" s="30" t="str">
        <x:v>嘉兴兴睿兴元股权投资合伙企业（有限合伙）</x:v>
      </x:c>
      <x:c r="F13" s="30" t="str">
        <x:v>RECOVERED_ACCEPTED_NAME</x:v>
      </x:c>
      <x:c r="G13" s="30" t="str">
        <x:v>FUND</x:v>
      </x:c>
      <x:c r="H13" s="30" t="str">
        <x:v>FUND</x:v>
      </x:c>
      <x:c r="I13" s="30" t="str">
        <x:v>CONFIRMED</x:v>
      </x:c>
      <x:c r="J13" s="30" t="str">
        <x:v>PEVC_CONFIRMED</x:v>
      </x:c>
      <x:c r="K13" s="30" t="str">
        <x:v>PEVC_CONFIRMED</x:v>
      </x:c>
      <x:c r="L13" s="30" t="str">
        <x:v>招股书私募基金备案表列示基金编号及管理人。</x:v>
      </x:c>
      <x:c r="M13" s="30" t="str">
        <x:v>STD-688726-008</x:v>
      </x:c>
      <x:c r="N13" s="30"/>
      <x:c r="O13" s="70" t="b">
        <x:v>0</x:v>
      </x:c>
      <x:c r="P13" s="30" t="str">
        <x:v>FINAL_APPROVED</x:v>
      </x:c>
    </x:row>
    <x:row r="14">
      <x:c r="A14" s="30" t="str">
        <x:v>STD-688726-009</x:v>
      </x:c>
      <x:c r="B14" s="30" t="str">
        <x:v>STANDARD</x:v>
      </x:c>
      <x:c r="C14" s="30" t="str">
        <x:v>STD-688726-009</x:v>
      </x:c>
      <x:c r="D14" s="30" t="str">
        <x:v>冯魏</x:v>
      </x:c>
      <x:c r="E14" s="30" t="str">
        <x:v>冯魏</x:v>
      </x:c>
      <x:c r="F14" s="30" t="str">
        <x:v>RECOVERED_ACCEPTED_NAME</x:v>
      </x:c>
      <x:c r="G14" s="30" t="str">
        <x:v>NATURAL_PERSON</x:v>
      </x:c>
      <x:c r="H14" s="30" t="str">
        <x:v>NATURAL_PERSON</x:v>
      </x:c>
      <x:c r="I14" s="30" t="str">
        <x:v>CONFIRMED</x:v>
      </x:c>
      <x:c r="J14" s="30" t="str">
        <x:v>PEVC_EXCLUDED</x:v>
      </x:c>
      <x:c r="K14" s="30" t="str">
        <x:v>PEVC_EXCLUDED</x:v>
      </x:c>
      <x:c r="L14" s="30" t="str">
        <x:v>自然人，不计入PE/VC法律主体。</x:v>
      </x:c>
      <x:c r="M14" s="30" t="str">
        <x:v>STD-688726-009</x:v>
      </x:c>
      <x:c r="N14" s="30"/>
      <x:c r="O14" s="70" t="b">
        <x:v>0</x:v>
      </x:c>
      <x:c r="P14" s="30" t="str">
        <x:v>FINAL_APPROVED</x:v>
      </x:c>
    </x:row>
    <x:row r="15">
      <x:c r="A15" s="30" t="str">
        <x:v>STD-688726-010</x:v>
      </x:c>
      <x:c r="B15" s="30" t="str">
        <x:v>STANDARD</x:v>
      </x:c>
      <x:c r="C15" s="30" t="str">
        <x:v>STD-688726-010</x:v>
      </x:c>
      <x:c r="D15" s="30" t="str">
        <x:v>同舟合伙</x:v>
      </x:c>
      <x:c r="E15" s="30" t="str">
        <x:v>西峡县同舟企业管理合伙企业（有限合伙）</x:v>
      </x:c>
      <x:c r="F15" s="30" t="str">
        <x:v>RECOVERED_ACCEPTED_NAME</x:v>
      </x:c>
      <x:c r="G15" s="30" t="str">
        <x:v>PARTNERSHIP</x:v>
      </x:c>
      <x:c r="H15" s="30" t="str">
        <x:v>PARTNERSHIP</x:v>
      </x:c>
      <x:c r="I15" s="30" t="str">
        <x:v>CONFIRMED</x:v>
      </x:c>
      <x:c r="J15" s="30" t="str">
        <x:v>PEVC_EXCLUDED</x:v>
      </x:c>
      <x:c r="K15" s="30" t="str">
        <x:v>PEVC_EXCLUDED</x:v>
      </x:c>
      <x:c r="L15" s="30" t="str">
        <x:v>未获得足以确认PE/VC的招股书证据。</x:v>
      </x:c>
      <x:c r="M15" s="30" t="str">
        <x:v>STD-688726-010</x:v>
      </x:c>
      <x:c r="N15" s="30"/>
      <x:c r="O15" s="70" t="b">
        <x:v>0</x:v>
      </x:c>
      <x:c r="P15" s="30" t="str">
        <x:v>FINAL_APPROVED</x:v>
      </x:c>
    </x:row>
    <x:row r="16">
      <x:c r="A16" s="30" t="str">
        <x:v>STD-688726-011</x:v>
      </x:c>
      <x:c r="B16" s="30" t="str">
        <x:v>STANDARD</x:v>
      </x:c>
      <x:c r="C16" s="30" t="str">
        <x:v>STD-688726-011</x:v>
      </x:c>
      <x:c r="D16" s="30" t="str">
        <x:v>嘉兴朝佑</x:v>
      </x:c>
      <x:c r="E16" s="30" t="str">
        <x:v>嘉兴朝佑股权投资合伙企业（有限合伙）</x:v>
      </x:c>
      <x:c r="F16" s="30" t="str">
        <x:v>RECOVERED_ACCEPTED_NAME</x:v>
      </x:c>
      <x:c r="G16" s="30" t="str">
        <x:v>FUND</x:v>
      </x:c>
      <x:c r="H16" s="30" t="str">
        <x:v>FUND</x:v>
      </x:c>
      <x:c r="I16" s="30" t="str">
        <x:v>CONFIRMED</x:v>
      </x:c>
      <x:c r="J16" s="30" t="str">
        <x:v>PEVC_CONFIRMED</x:v>
      </x:c>
      <x:c r="K16" s="30" t="str">
        <x:v>PEVC_CONFIRMED</x:v>
      </x:c>
      <x:c r="L16" s="30" t="str">
        <x:v>招股书私募基金备案表列示基金编号及管理人。</x:v>
      </x:c>
      <x:c r="M16" s="30" t="str">
        <x:v>STD-688726-011</x:v>
      </x:c>
      <x:c r="N16" s="30"/>
      <x:c r="O16" s="70" t="b">
        <x:v>0</x:v>
      </x:c>
      <x:c r="P16" s="30" t="str">
        <x:v>FINAL_APPROVED</x:v>
      </x:c>
    </x:row>
    <x:row r="17">
      <x:c r="A17" s="30" t="str">
        <x:v>STD-688726-012</x:v>
      </x:c>
      <x:c r="B17" s="30" t="str">
        <x:v>STANDARD</x:v>
      </x:c>
      <x:c r="C17" s="30" t="str">
        <x:v>STD-688726-012</x:v>
      </x:c>
      <x:c r="D17" s="30" t="str">
        <x:v>嘉兴朝希</x:v>
      </x:c>
      <x:c r="E17" s="30" t="str">
        <x:v>嘉兴朝希洪泰股权投资合伙企业（有限合伙）</x:v>
      </x:c>
      <x:c r="F17" s="30" t="str">
        <x:v>RECOVERED_ACCEPTED_NAME</x:v>
      </x:c>
      <x:c r="G17" s="30" t="str">
        <x:v>FUND</x:v>
      </x:c>
      <x:c r="H17" s="30" t="str">
        <x:v>FUND</x:v>
      </x:c>
      <x:c r="I17" s="30" t="str">
        <x:v>CONFIRMED</x:v>
      </x:c>
      <x:c r="J17" s="30" t="str">
        <x:v>PEVC_CONFIRMED</x:v>
      </x:c>
      <x:c r="K17" s="30" t="str">
        <x:v>PEVC_CONFIRMED</x:v>
      </x:c>
      <x:c r="L17" s="30" t="str">
        <x:v>招股书私募基金备案表列示基金编号及管理人。</x:v>
      </x:c>
      <x:c r="M17" s="30" t="str">
        <x:v>STD-688726-012</x:v>
      </x:c>
      <x:c r="N17" s="30"/>
      <x:c r="O17" s="70" t="b">
        <x:v>0</x:v>
      </x:c>
      <x:c r="P17" s="30" t="str">
        <x:v>FINAL_APPROVED</x:v>
      </x:c>
    </x:row>
    <x:row r="18">
      <x:c r="A18" s="30" t="str">
        <x:v>STD-688726-013</x:v>
      </x:c>
      <x:c r="B18" s="30" t="str">
        <x:v>STANDARD</x:v>
      </x:c>
      <x:c r="C18" s="30" t="str">
        <x:v>STD-688726-013</x:v>
      </x:c>
      <x:c r="D18" s="30" t="str">
        <x:v>嘉兴朝骞</x:v>
      </x:c>
      <x:c r="E18" s="30" t="str">
        <x:v>嘉兴朝骞股权投资合伙企业（有限合伙）</x:v>
      </x:c>
      <x:c r="F18" s="30" t="str">
        <x:v>RECOVERED_ACCEPTED_NAME</x:v>
      </x:c>
      <x:c r="G18" s="30" t="str">
        <x:v>FUND</x:v>
      </x:c>
      <x:c r="H18" s="30" t="str">
        <x:v>FUND</x:v>
      </x:c>
      <x:c r="I18" s="30" t="str">
        <x:v>CONFIRMED</x:v>
      </x:c>
      <x:c r="J18" s="30" t="str">
        <x:v>PEVC_CONFIRMED</x:v>
      </x:c>
      <x:c r="K18" s="30" t="str">
        <x:v>PEVC_CONFIRMED</x:v>
      </x:c>
      <x:c r="L18" s="30" t="str">
        <x:v>招股书私募基金备案表列示基金编号及管理人。</x:v>
      </x:c>
      <x:c r="M18" s="30" t="str">
        <x:v>STD-688726-013</x:v>
      </x:c>
      <x:c r="N18" s="30"/>
      <x:c r="O18" s="70" t="b">
        <x:v>0</x:v>
      </x:c>
      <x:c r="P18" s="30" t="str">
        <x:v>FINAL_APPROVED</x:v>
      </x:c>
    </x:row>
    <x:row r="19">
      <x:c r="A19" s="30" t="str">
        <x:v>STD-688726-014</x:v>
      </x:c>
      <x:c r="B19" s="30" t="str">
        <x:v>STANDARD</x:v>
      </x:c>
      <x:c r="C19" s="30" t="str">
        <x:v>STD-688726-014</x:v>
      </x:c>
      <x:c r="D19" s="30" t="str">
        <x:v>嘉兴腾寅</x:v>
      </x:c>
      <x:c r="E19" s="30" t="str">
        <x:v>嘉兴腾寅股权投资合伙企业（有限合伙）</x:v>
      </x:c>
      <x:c r="F19" s="30" t="str">
        <x:v>RECOVERED_ACCEPTED_NAME</x:v>
      </x:c>
      <x:c r="G19" s="30" t="str">
        <x:v>PARTNERSHIP</x:v>
      </x:c>
      <x:c r="H19" s="30" t="str">
        <x:v>PARTNERSHIP</x:v>
      </x:c>
      <x:c r="I19" s="30" t="str">
        <x:v>CONFIRMED</x:v>
      </x:c>
      <x:c r="J19" s="30" t="str">
        <x:v>PEVC_CANDIDATE</x:v>
      </x:c>
      <x:c r="K19" s="30" t="str">
        <x:v>PEVC_CANDIDATE</x:v>
      </x:c>
      <x:c r="L19" s="30" t="str">
        <x:v>具有投资机构名称或经营属性，但未进入本次招股书29名备案私募基金清单，保守列候选。</x:v>
      </x:c>
      <x:c r="M19" s="30" t="str">
        <x:v>STD-688726-014</x:v>
      </x:c>
      <x:c r="N19" s="30"/>
      <x:c r="O19" s="70" t="b">
        <x:v>1</x:v>
      </x:c>
      <x:c r="P19" s="30" t="str">
        <x:v>ACCEPTED_LIMITATION</x:v>
      </x:c>
    </x:row>
    <x:row r="20">
      <x:c r="A20" s="30" t="str">
        <x:v>STD-688726-015</x:v>
      </x:c>
      <x:c r="B20" s="30" t="str">
        <x:v>STANDARD</x:v>
      </x:c>
      <x:c r="C20" s="30" t="str">
        <x:v>STD-688726-015</x:v>
      </x:c>
      <x:c r="D20" s="30" t="str">
        <x:v>国寿科创</x:v>
      </x:c>
      <x:c r="E20" s="30" t="str">
        <x:v>国寿（深圳）科技创新私募股权投资基金合伙企业（有限合伙）</x:v>
      </x:c>
      <x:c r="F20" s="30" t="str">
        <x:v>RECOVERED_ACCEPTED_NAME</x:v>
      </x:c>
      <x:c r="G20" s="30" t="str">
        <x:v>FUND</x:v>
      </x:c>
      <x:c r="H20" s="30" t="str">
        <x:v>FUND</x:v>
      </x:c>
      <x:c r="I20" s="30" t="str">
        <x:v>CONFIRMED</x:v>
      </x:c>
      <x:c r="J20" s="30" t="str">
        <x:v>PEVC_CONFIRMED</x:v>
      </x:c>
      <x:c r="K20" s="30" t="str">
        <x:v>PEVC_CONFIRMED</x:v>
      </x:c>
      <x:c r="L20" s="30" t="str">
        <x:v>招股书私募基金备案表列示基金编号及管理人。</x:v>
      </x:c>
      <x:c r="M20" s="30" t="str">
        <x:v>STD-688726-015</x:v>
      </x:c>
      <x:c r="N20" s="30"/>
      <x:c r="O20" s="70" t="b">
        <x:v>0</x:v>
      </x:c>
      <x:c r="P20" s="30" t="str">
        <x:v>FINAL_APPROVED</x:v>
      </x:c>
    </x:row>
    <x:row r="21">
      <x:c r="A21" s="30" t="str">
        <x:v>STD-688726-016</x:v>
      </x:c>
      <x:c r="B21" s="30" t="str">
        <x:v>STANDARD</x:v>
      </x:c>
      <x:c r="C21" s="30" t="str">
        <x:v>STD-688726-016</x:v>
      </x:c>
      <x:c r="D21" s="30" t="str">
        <x:v>国盈君和</x:v>
      </x:c>
      <x:c r="E21" s="30" t="str">
        <x:v>海口市国盈君和企业管理合伙企业（有限合伙）</x:v>
      </x:c>
      <x:c r="F21" s="30" t="str">
        <x:v>RECOVERED_ACCEPTED_NAME</x:v>
      </x:c>
      <x:c r="G21" s="30" t="str">
        <x:v>PARTNERSHIP</x:v>
      </x:c>
      <x:c r="H21" s="30" t="str">
        <x:v>PARTNERSHIP</x:v>
      </x:c>
      <x:c r="I21" s="30" t="str">
        <x:v>CONFIRMED</x:v>
      </x:c>
      <x:c r="J21" s="30" t="str">
        <x:v>PEVC_EXCLUDED</x:v>
      </x:c>
      <x:c r="K21" s="30" t="str">
        <x:v>PEVC_EXCLUDED</x:v>
      </x:c>
      <x:c r="L21" s="30" t="str">
        <x:v>未获得足以确认PE/VC的招股书证据。</x:v>
      </x:c>
      <x:c r="M21" s="30" t="str">
        <x:v>STD-688726-016</x:v>
      </x:c>
      <x:c r="N21" s="30"/>
      <x:c r="O21" s="70" t="b">
        <x:v>0</x:v>
      </x:c>
      <x:c r="P21" s="30" t="str">
        <x:v>FINAL_APPROVED</x:v>
      </x:c>
    </x:row>
    <x:row r="22">
      <x:c r="A22" s="30" t="str">
        <x:v>STD-688726-017</x:v>
      </x:c>
      <x:c r="B22" s="30" t="str">
        <x:v>STANDARD</x:v>
      </x:c>
      <x:c r="C22" s="30" t="str">
        <x:v>STD-688726-017</x:v>
      </x:c>
      <x:c r="D22" s="30" t="str">
        <x:v>如东嘉达</x:v>
      </x:c>
      <x:c r="E22" s="30" t="str">
        <x:v>如东嘉达股权投资基金合伙企业（有限合伙）</x:v>
      </x:c>
      <x:c r="F22" s="30" t="str">
        <x:v>RECOVERED_ACCEPTED_NAME</x:v>
      </x:c>
      <x:c r="G22" s="30" t="str">
        <x:v>FUND</x:v>
      </x:c>
      <x:c r="H22" s="30" t="str">
        <x:v>FUND</x:v>
      </x:c>
      <x:c r="I22" s="30" t="str">
        <x:v>CONFIRMED</x:v>
      </x:c>
      <x:c r="J22" s="30" t="str">
        <x:v>PEVC_CONFIRMED</x:v>
      </x:c>
      <x:c r="K22" s="30" t="str">
        <x:v>PEVC_CONFIRMED</x:v>
      </x:c>
      <x:c r="L22" s="30" t="str">
        <x:v>招股书私募基金备案表列示基金编号及管理人。</x:v>
      </x:c>
      <x:c r="M22" s="30" t="str">
        <x:v>STD-688726-017</x:v>
      </x:c>
      <x:c r="N22" s="30"/>
      <x:c r="O22" s="70" t="b">
        <x:v>0</x:v>
      </x:c>
      <x:c r="P22" s="30" t="str">
        <x:v>FINAL_APPROVED</x:v>
      </x:c>
    </x:row>
    <x:row r="23">
      <x:c r="A23" s="30" t="str">
        <x:v>STD-688726-018</x:v>
      </x:c>
      <x:c r="B23" s="30" t="str">
        <x:v>STANDARD</x:v>
      </x:c>
      <x:c r="C23" s="30" t="str">
        <x:v>STD-688726-018</x:v>
      </x:c>
      <x:c r="D23" s="30" t="str">
        <x:v>如东恒君</x:v>
      </x:c>
      <x:c r="E23" s="30" t="str">
        <x:v>如东恒君股权投资基金合伙企业（有限合伙）</x:v>
      </x:c>
      <x:c r="F23" s="30" t="str">
        <x:v>RECOVERED_ACCEPTED_NAME</x:v>
      </x:c>
      <x:c r="G23" s="30" t="str">
        <x:v>FUND</x:v>
      </x:c>
      <x:c r="H23" s="30" t="str">
        <x:v>FUND</x:v>
      </x:c>
      <x:c r="I23" s="30" t="str">
        <x:v>CONFIRMED</x:v>
      </x:c>
      <x:c r="J23" s="30" t="str">
        <x:v>PEVC_CONFIRMED</x:v>
      </x:c>
      <x:c r="K23" s="30" t="str">
        <x:v>PEVC_CONFIRMED</x:v>
      </x:c>
      <x:c r="L23" s="30" t="str">
        <x:v>招股书私募基金备案表列示基金编号及管理人。</x:v>
      </x:c>
      <x:c r="M23" s="30" t="str">
        <x:v>STD-688726-018</x:v>
      </x:c>
      <x:c r="N23" s="30"/>
      <x:c r="O23" s="70" t="b">
        <x:v>0</x:v>
      </x:c>
      <x:c r="P23" s="30" t="str">
        <x:v>FINAL_APPROVED</x:v>
      </x:c>
    </x:row>
    <x:row r="24">
      <x:c r="A24" s="30" t="str">
        <x:v>STD-688726-019</x:v>
      </x:c>
      <x:c r="B24" s="30" t="str">
        <x:v>STANDARD</x:v>
      </x:c>
      <x:c r="C24" s="30" t="str">
        <x:v>STD-688726-019</x:v>
      </x:c>
      <x:c r="D24" s="30" t="str">
        <x:v>如东睿达</x:v>
      </x:c>
      <x:c r="E24" s="30" t="str">
        <x:v>如东睿达股权投资基金合伙企业（有限合伙）</x:v>
      </x:c>
      <x:c r="F24" s="30" t="str">
        <x:v>RECOVERED_ACCEPTED_NAME</x:v>
      </x:c>
      <x:c r="G24" s="30" t="str">
        <x:v>FUND</x:v>
      </x:c>
      <x:c r="H24" s="30" t="str">
        <x:v>FUND</x:v>
      </x:c>
      <x:c r="I24" s="30" t="str">
        <x:v>CONFIRMED</x:v>
      </x:c>
      <x:c r="J24" s="30" t="str">
        <x:v>PEVC_CONFIRMED</x:v>
      </x:c>
      <x:c r="K24" s="30" t="str">
        <x:v>PEVC_CONFIRMED</x:v>
      </x:c>
      <x:c r="L24" s="30" t="str">
        <x:v>招股书私募基金备案表列示基金编号及管理人。</x:v>
      </x:c>
      <x:c r="M24" s="30" t="str">
        <x:v>STD-688726-019</x:v>
      </x:c>
      <x:c r="N24" s="30"/>
      <x:c r="O24" s="70" t="b">
        <x:v>0</x:v>
      </x:c>
      <x:c r="P24" s="30" t="str">
        <x:v>FINAL_APPROVED</x:v>
      </x:c>
    </x:row>
    <x:row r="25">
      <x:c r="A25" s="30" t="str">
        <x:v>STD-688726-020</x:v>
      </x:c>
      <x:c r="B25" s="30" t="str">
        <x:v>STANDARD</x:v>
      </x:c>
      <x:c r="C25" s="30" t="str">
        <x:v>STD-688726-020</x:v>
      </x:c>
      <x:c r="D25" s="30" t="str">
        <x:v>姜洪峰</x:v>
      </x:c>
      <x:c r="E25" s="30" t="str">
        <x:v>姜洪峰</x:v>
      </x:c>
      <x:c r="F25" s="30" t="str">
        <x:v>RECOVERED_ACCEPTED_NAME</x:v>
      </x:c>
      <x:c r="G25" s="30" t="str">
        <x:v>NATURAL_PERSON</x:v>
      </x:c>
      <x:c r="H25" s="30" t="str">
        <x:v>NATURAL_PERSON</x:v>
      </x:c>
      <x:c r="I25" s="30" t="str">
        <x:v>CONFIRMED</x:v>
      </x:c>
      <x:c r="J25" s="30" t="str">
        <x:v>PEVC_EXCLUDED</x:v>
      </x:c>
      <x:c r="K25" s="30" t="str">
        <x:v>PEVC_EXCLUDED</x:v>
      </x:c>
      <x:c r="L25" s="30" t="str">
        <x:v>自然人，不计入PE/VC法律主体。</x:v>
      </x:c>
      <x:c r="M25" s="30" t="str">
        <x:v>STD-688726-020</x:v>
      </x:c>
      <x:c r="N25" s="30"/>
      <x:c r="O25" s="70" t="b">
        <x:v>0</x:v>
      </x:c>
      <x:c r="P25" s="30" t="str">
        <x:v>FINAL_APPROVED</x:v>
      </x:c>
    </x:row>
    <x:row r="26">
      <x:c r="A26" s="30" t="str">
        <x:v>STD-688726-021</x:v>
      </x:c>
      <x:c r="B26" s="30" t="str">
        <x:v>STANDARD</x:v>
      </x:c>
      <x:c r="C26" s="30" t="str">
        <x:v>STD-688726-021</x:v>
      </x:c>
      <x:c r="D26" s="30" t="str">
        <x:v>孟祥云</x:v>
      </x:c>
      <x:c r="E26" s="30" t="str">
        <x:v>孟祥云</x:v>
      </x:c>
      <x:c r="F26" s="30" t="str">
        <x:v>RECOVERED_ACCEPTED_NAME</x:v>
      </x:c>
      <x:c r="G26" s="30" t="str">
        <x:v>NATURAL_PERSON</x:v>
      </x:c>
      <x:c r="H26" s="30" t="str">
        <x:v>NATURAL_PERSON</x:v>
      </x:c>
      <x:c r="I26" s="30" t="str">
        <x:v>CONFIRMED</x:v>
      </x:c>
      <x:c r="J26" s="30" t="str">
        <x:v>PEVC_EXCLUDED</x:v>
      </x:c>
      <x:c r="K26" s="30" t="str">
        <x:v>PEVC_EXCLUDED</x:v>
      </x:c>
      <x:c r="L26" s="30" t="str">
        <x:v>自然人，不计入PE/VC法律主体。</x:v>
      </x:c>
      <x:c r="M26" s="30" t="str">
        <x:v>STD-688726-021</x:v>
      </x:c>
      <x:c r="N26" s="30"/>
      <x:c r="O26" s="70" t="b">
        <x:v>0</x:v>
      </x:c>
      <x:c r="P26" s="30" t="str">
        <x:v>FINAL_APPROVED</x:v>
      </x:c>
    </x:row>
    <x:row r="27">
      <x:c r="A27" s="30" t="str">
        <x:v>STD-688726-022</x:v>
      </x:c>
      <x:c r="B27" s="30" t="str">
        <x:v>STANDARD</x:v>
      </x:c>
      <x:c r="C27" s="30" t="str">
        <x:v>STD-688726-022</x:v>
      </x:c>
      <x:c r="D27" s="30" t="str">
        <x:v>宁波易津</x:v>
      </x:c>
      <x:c r="E27" s="30" t="str">
        <x:v>宁波易津紫台投资管理合伙企业（有限合伙）</x:v>
      </x:c>
      <x:c r="F27" s="30" t="str">
        <x:v>RECOVERED_ACCEPTED_NAME</x:v>
      </x:c>
      <x:c r="G27" s="30" t="str">
        <x:v>PARTNERSHIP</x:v>
      </x:c>
      <x:c r="H27" s="30" t="str">
        <x:v>PARTNERSHIP</x:v>
      </x:c>
      <x:c r="I27" s="30" t="str">
        <x:v>CONFIRMED</x:v>
      </x:c>
      <x:c r="J27" s="30" t="str">
        <x:v>PEVC_CANDIDATE</x:v>
      </x:c>
      <x:c r="K27" s="30" t="str">
        <x:v>PEVC_CANDIDATE</x:v>
      </x:c>
      <x:c r="L27" s="30" t="str">
        <x:v>具有投资机构名称或经营属性，但未进入本次招股书29名备案私募基金清单，保守列候选。</x:v>
      </x:c>
      <x:c r="M27" s="30" t="str">
        <x:v>STD-688726-022</x:v>
      </x:c>
      <x:c r="N27" s="30"/>
      <x:c r="O27" s="70" t="b">
        <x:v>1</x:v>
      </x:c>
      <x:c r="P27" s="30" t="str">
        <x:v>ACCEPTED_LIMITATION</x:v>
      </x:c>
    </x:row>
    <x:row r="28">
      <x:c r="A28" s="30" t="str">
        <x:v>STD-688726-023</x:v>
      </x:c>
      <x:c r="B28" s="30" t="str">
        <x:v>STANDARD</x:v>
      </x:c>
      <x:c r="C28" s="30" t="str">
        <x:v>STD-688726-023</x:v>
      </x:c>
      <x:c r="D28" s="30" t="str">
        <x:v>安托信</x:v>
      </x:c>
      <x:c r="E28" s="30" t="str">
        <x:v>深圳安托信投资合伙企业（有限合伙）</x:v>
      </x:c>
      <x:c r="F28" s="30" t="str">
        <x:v>RECOVERED_ACCEPTED_NAME</x:v>
      </x:c>
      <x:c r="G28" s="30" t="str">
        <x:v>PARTNERSHIP</x:v>
      </x:c>
      <x:c r="H28" s="30" t="str">
        <x:v>PARTNERSHIP</x:v>
      </x:c>
      <x:c r="I28" s="30" t="str">
        <x:v>CONFIRMED</x:v>
      </x:c>
      <x:c r="J28" s="30" t="str">
        <x:v>PEVC_CANDIDATE</x:v>
      </x:c>
      <x:c r="K28" s="30" t="str">
        <x:v>PEVC_CANDIDATE</x:v>
      </x:c>
      <x:c r="L28" s="30" t="str">
        <x:v>具有投资机构名称或经营属性，但未进入本次招股书29名备案私募基金清单，保守列候选。</x:v>
      </x:c>
      <x:c r="M28" s="30" t="str">
        <x:v>STD-688726-023</x:v>
      </x:c>
      <x:c r="N28" s="30"/>
      <x:c r="O28" s="70" t="b">
        <x:v>1</x:v>
      </x:c>
      <x:c r="P28" s="30" t="str">
        <x:v>ACCEPTED_LIMITATION</x:v>
      </x:c>
    </x:row>
    <x:row r="29">
      <x:c r="A29" s="30" t="str">
        <x:v>STD-688726-024</x:v>
      </x:c>
      <x:c r="B29" s="30" t="str">
        <x:v>STANDARD</x:v>
      </x:c>
      <x:c r="C29" s="30" t="str">
        <x:v>STD-688726-024</x:v>
      </x:c>
      <x:c r="D29" s="30" t="str">
        <x:v>安是新能源</x:v>
      </x:c>
      <x:c r="E29" s="30" t="str">
        <x:v>安是新能源材料（上海）有限公司</x:v>
      </x:c>
      <x:c r="F29" s="30" t="str">
        <x:v>RECOVERED_ACCEPTED_NAME</x:v>
      </x:c>
      <x:c r="G29" s="30" t="str">
        <x:v>COMPANY</x:v>
      </x:c>
      <x:c r="H29" s="30" t="str">
        <x:v>COMPANY</x:v>
      </x:c>
      <x:c r="I29" s="30" t="str">
        <x:v>CONFIRMED</x:v>
      </x:c>
      <x:c r="J29" s="30" t="str">
        <x:v>PEVC_EXCLUDED</x:v>
      </x:c>
      <x:c r="K29" s="30" t="str">
        <x:v>PEVC_EXCLUDED</x:v>
      </x:c>
      <x:c r="L29" s="30" t="str">
        <x:v>未获得足以确认PE/VC的招股书证据。</x:v>
      </x:c>
      <x:c r="M29" s="30" t="str">
        <x:v>STD-688726-024</x:v>
      </x:c>
      <x:c r="N29" s="30"/>
      <x:c r="O29" s="70" t="b">
        <x:v>0</x:v>
      </x:c>
      <x:c r="P29" s="30" t="str">
        <x:v>FINAL_APPROVED</x:v>
      </x:c>
    </x:row>
    <x:row r="30">
      <x:c r="A30" s="30" t="str">
        <x:v>STD-688726-025</x:v>
      </x:c>
      <x:c r="B30" s="30" t="str">
        <x:v>STANDARD</x:v>
      </x:c>
      <x:c r="C30" s="30" t="str">
        <x:v>STD-688726-025</x:v>
      </x:c>
      <x:c r="D30" s="30" t="str">
        <x:v>张强</x:v>
      </x:c>
      <x:c r="E30" s="30" t="str">
        <x:v>张强</x:v>
      </x:c>
      <x:c r="F30" s="30" t="str">
        <x:v>RECOVERED_ACCEPTED_NAME</x:v>
      </x:c>
      <x:c r="G30" s="30" t="str">
        <x:v>NATURAL_PERSON</x:v>
      </x:c>
      <x:c r="H30" s="30" t="str">
        <x:v>NATURAL_PERSON</x:v>
      </x:c>
      <x:c r="I30" s="30" t="str">
        <x:v>CONFIRMED</x:v>
      </x:c>
      <x:c r="J30" s="30" t="str">
        <x:v>PEVC_EXCLUDED</x:v>
      </x:c>
      <x:c r="K30" s="30" t="str">
        <x:v>PEVC_EXCLUDED</x:v>
      </x:c>
      <x:c r="L30" s="30" t="str">
        <x:v>自然人，不计入PE/VC法律主体。</x:v>
      </x:c>
      <x:c r="M30" s="30" t="str">
        <x:v>STD-688726-025</x:v>
      </x:c>
      <x:c r="N30" s="30"/>
      <x:c r="O30" s="70" t="b">
        <x:v>0</x:v>
      </x:c>
      <x:c r="P30" s="30" t="str">
        <x:v>FINAL_APPROVED</x:v>
      </x:c>
    </x:row>
    <x:row r="31">
      <x:c r="A31" s="30" t="str">
        <x:v>STD-688726-026</x:v>
      </x:c>
      <x:c r="B31" s="30" t="str">
        <x:v>STANDARD</x:v>
      </x:c>
      <x:c r="C31" s="30" t="str">
        <x:v>STD-688726-026</x:v>
      </x:c>
      <x:c r="D31" s="30" t="str">
        <x:v>张文正</x:v>
      </x:c>
      <x:c r="E31" s="30" t="str">
        <x:v>张文正</x:v>
      </x:c>
      <x:c r="F31" s="30" t="str">
        <x:v>RECOVERED_ACCEPTED_NAME</x:v>
      </x:c>
      <x:c r="G31" s="30" t="str">
        <x:v>NATURAL_PERSON</x:v>
      </x:c>
      <x:c r="H31" s="30" t="str">
        <x:v>NATURAL_PERSON</x:v>
      </x:c>
      <x:c r="I31" s="30" t="str">
        <x:v>CONFIRMED</x:v>
      </x:c>
      <x:c r="J31" s="30" t="str">
        <x:v>PEVC_EXCLUDED</x:v>
      </x:c>
      <x:c r="K31" s="30" t="str">
        <x:v>PEVC_EXCLUDED</x:v>
      </x:c>
      <x:c r="L31" s="30" t="str">
        <x:v>自然人，不计入PE/VC法律主体。</x:v>
      </x:c>
      <x:c r="M31" s="30" t="str">
        <x:v>STD-688726-026</x:v>
      </x:c>
      <x:c r="N31" s="30"/>
      <x:c r="O31" s="70" t="b">
        <x:v>0</x:v>
      </x:c>
      <x:c r="P31" s="30" t="str">
        <x:v>FINAL_APPROVED</x:v>
      </x:c>
    </x:row>
    <x:row r="32">
      <x:c r="A32" s="30" t="str">
        <x:v>STD-688726-027</x:v>
      </x:c>
      <x:c r="B32" s="30" t="str">
        <x:v>STANDARD</x:v>
      </x:c>
      <x:c r="C32" s="30" t="str">
        <x:v>STD-688726-027</x:v>
      </x:c>
      <x:c r="D32" s="30" t="str">
        <x:v>张玉秋</x:v>
      </x:c>
      <x:c r="E32" s="30" t="str">
        <x:v>张玉秋</x:v>
      </x:c>
      <x:c r="F32" s="30" t="str">
        <x:v>RECOVERED_ACCEPTED_NAME</x:v>
      </x:c>
      <x:c r="G32" s="30" t="str">
        <x:v>NATURAL_PERSON</x:v>
      </x:c>
      <x:c r="H32" s="30" t="str">
        <x:v>NATURAL_PERSON</x:v>
      </x:c>
      <x:c r="I32" s="30" t="str">
        <x:v>CONFIRMED</x:v>
      </x:c>
      <x:c r="J32" s="30" t="str">
        <x:v>PEVC_EXCLUDED</x:v>
      </x:c>
      <x:c r="K32" s="30" t="str">
        <x:v>PEVC_EXCLUDED</x:v>
      </x:c>
      <x:c r="L32" s="30" t="str">
        <x:v>自然人，不计入PE/VC法律主体。</x:v>
      </x:c>
      <x:c r="M32" s="30" t="str">
        <x:v>STD-688726-027</x:v>
      </x:c>
      <x:c r="N32" s="30"/>
      <x:c r="O32" s="70" t="b">
        <x:v>0</x:v>
      </x:c>
      <x:c r="P32" s="30" t="str">
        <x:v>FINAL_APPROVED</x:v>
      </x:c>
    </x:row>
    <x:row r="33">
      <x:c r="A33" s="30" t="str">
        <x:v>STD-688726-028</x:v>
      </x:c>
      <x:c r="B33" s="30" t="str">
        <x:v>STANDARD</x:v>
      </x:c>
      <x:c r="C33" s="30" t="str">
        <x:v>STD-688726-028</x:v>
      </x:c>
      <x:c r="D33" s="30" t="str">
        <x:v>张钰琪</x:v>
      </x:c>
      <x:c r="E33" s="30" t="str">
        <x:v>张钰琪</x:v>
      </x:c>
      <x:c r="F33" s="30" t="str">
        <x:v>RECOVERED_ACCEPTED_NAME</x:v>
      </x:c>
      <x:c r="G33" s="30" t="str">
        <x:v>NATURAL_PERSON</x:v>
      </x:c>
      <x:c r="H33" s="30" t="str">
        <x:v>NATURAL_PERSON</x:v>
      </x:c>
      <x:c r="I33" s="30" t="str">
        <x:v>CONFIRMED</x:v>
      </x:c>
      <x:c r="J33" s="30" t="str">
        <x:v>PEVC_EXCLUDED</x:v>
      </x:c>
      <x:c r="K33" s="30" t="str">
        <x:v>PEVC_EXCLUDED</x:v>
      </x:c>
      <x:c r="L33" s="30" t="str">
        <x:v>自然人，不计入PE/VC法律主体。</x:v>
      </x:c>
      <x:c r="M33" s="30" t="str">
        <x:v>STD-688726-028</x:v>
      </x:c>
      <x:c r="N33" s="30"/>
      <x:c r="O33" s="70" t="b">
        <x:v>0</x:v>
      </x:c>
      <x:c r="P33" s="30" t="str">
        <x:v>FINAL_APPROVED</x:v>
      </x:c>
    </x:row>
    <x:row r="34">
      <x:c r="A34" s="30" t="str">
        <x:v>STD-688726-029</x:v>
      </x:c>
      <x:c r="B34" s="30" t="str">
        <x:v>STANDARD</x:v>
      </x:c>
      <x:c r="C34" s="30" t="str">
        <x:v>STD-688726-029</x:v>
      </x:c>
      <x:c r="D34" s="30" t="str">
        <x:v>徐家林</x:v>
      </x:c>
      <x:c r="E34" s="30" t="str">
        <x:v>徐家林</x:v>
      </x:c>
      <x:c r="F34" s="30" t="str">
        <x:v>RECOVERED_ACCEPTED_NAME</x:v>
      </x:c>
      <x:c r="G34" s="30" t="str">
        <x:v>NATURAL_PERSON</x:v>
      </x:c>
      <x:c r="H34" s="30" t="str">
        <x:v>NATURAL_PERSON</x:v>
      </x:c>
      <x:c r="I34" s="30" t="str">
        <x:v>CONFIRMED</x:v>
      </x:c>
      <x:c r="J34" s="30" t="str">
        <x:v>PEVC_EXCLUDED</x:v>
      </x:c>
      <x:c r="K34" s="30" t="str">
        <x:v>PEVC_EXCLUDED</x:v>
      </x:c>
      <x:c r="L34" s="30" t="str">
        <x:v>自然人，不计入PE/VC法律主体。</x:v>
      </x:c>
      <x:c r="M34" s="30" t="str">
        <x:v>STD-688726-029</x:v>
      </x:c>
      <x:c r="N34" s="30"/>
      <x:c r="O34" s="70" t="b">
        <x:v>0</x:v>
      </x:c>
      <x:c r="P34" s="30" t="str">
        <x:v>FINAL_APPROVED</x:v>
      </x:c>
    </x:row>
    <x:row r="35">
      <x:c r="A35" s="30" t="str">
        <x:v>STD-688726-030</x:v>
      </x:c>
      <x:c r="B35" s="30" t="str">
        <x:v>STANDARD</x:v>
      </x:c>
      <x:c r="C35" s="30" t="str">
        <x:v>STD-688726-030</x:v>
      </x:c>
      <x:c r="D35" s="30" t="str">
        <x:v>德兴川弘</x:v>
      </x:c>
      <x:c r="E35" s="30" t="str">
        <x:v>德兴市川弘投资有限公司</x:v>
      </x:c>
      <x:c r="F35" s="30" t="str">
        <x:v>RECOVERED_ACCEPTED_NAME</x:v>
      </x:c>
      <x:c r="G35" s="30" t="str">
        <x:v>COMPANY</x:v>
      </x:c>
      <x:c r="H35" s="30" t="str">
        <x:v>COMPANY</x:v>
      </x:c>
      <x:c r="I35" s="30" t="str">
        <x:v>CONFIRMED</x:v>
      </x:c>
      <x:c r="J35" s="30" t="str">
        <x:v>PEVC_CANDIDATE</x:v>
      </x:c>
      <x:c r="K35" s="30" t="str">
        <x:v>PEVC_CANDIDATE</x:v>
      </x:c>
      <x:c r="L35" s="30" t="str">
        <x:v>具有投资机构名称或经营属性，但未进入本次招股书29名备案私募基金清单，保守列候选。</x:v>
      </x:c>
      <x:c r="M35" s="30" t="str">
        <x:v>STD-688726-030</x:v>
      </x:c>
      <x:c r="N35" s="30"/>
      <x:c r="O35" s="70" t="b">
        <x:v>1</x:v>
      </x:c>
      <x:c r="P35" s="30" t="str">
        <x:v>ACCEPTED_LIMITATION</x:v>
      </x:c>
    </x:row>
    <x:row r="36">
      <x:c r="A36" s="30" t="str">
        <x:v>STD-688726-031</x:v>
      </x:c>
      <x:c r="B36" s="30" t="str">
        <x:v>STANDARD</x:v>
      </x:c>
      <x:c r="C36" s="30" t="str">
        <x:v>STD-688726-031</x:v>
      </x:c>
      <x:c r="D36" s="30" t="str">
        <x:v>房坤</x:v>
      </x:c>
      <x:c r="E36" s="30" t="str">
        <x:v>房坤</x:v>
      </x:c>
      <x:c r="F36" s="30" t="str">
        <x:v>RECOVERED_ACCEPTED_NAME</x:v>
      </x:c>
      <x:c r="G36" s="30" t="str">
        <x:v>NATURAL_PERSON</x:v>
      </x:c>
      <x:c r="H36" s="30" t="str">
        <x:v>NATURAL_PERSON</x:v>
      </x:c>
      <x:c r="I36" s="30" t="str">
        <x:v>CONFIRMED</x:v>
      </x:c>
      <x:c r="J36" s="30" t="str">
        <x:v>PEVC_EXCLUDED</x:v>
      </x:c>
      <x:c r="K36" s="30" t="str">
        <x:v>PEVC_EXCLUDED</x:v>
      </x:c>
      <x:c r="L36" s="30" t="str">
        <x:v>自然人，不计入PE/VC法律主体。</x:v>
      </x:c>
      <x:c r="M36" s="30" t="str">
        <x:v>STD-688726-031</x:v>
      </x:c>
      <x:c r="N36" s="30"/>
      <x:c r="O36" s="70" t="b">
        <x:v>0</x:v>
      </x:c>
      <x:c r="P36" s="30" t="str">
        <x:v>FINAL_APPROVED</x:v>
      </x:c>
    </x:row>
    <x:row r="37">
      <x:c r="A37" s="30" t="str">
        <x:v>STD-688726-032</x:v>
      </x:c>
      <x:c r="B37" s="30" t="str">
        <x:v>STANDARD</x:v>
      </x:c>
      <x:c r="C37" s="30" t="str">
        <x:v>STD-688726-032</x:v>
      </x:c>
      <x:c r="D37" s="30" t="str">
        <x:v>捷毅创投</x:v>
      </x:c>
      <x:c r="E37" s="30" t="str">
        <x:v>宁波捷毅创业投资合伙企业（有限合伙）</x:v>
      </x:c>
      <x:c r="F37" s="30" t="str">
        <x:v>RECOVERED_ACCEPTED_NAME</x:v>
      </x:c>
      <x:c r="G37" s="30" t="str">
        <x:v>FUND</x:v>
      </x:c>
      <x:c r="H37" s="30" t="str">
        <x:v>FUND</x:v>
      </x:c>
      <x:c r="I37" s="30" t="str">
        <x:v>CONFIRMED</x:v>
      </x:c>
      <x:c r="J37" s="30" t="str">
        <x:v>PEVC_CONFIRMED</x:v>
      </x:c>
      <x:c r="K37" s="30" t="str">
        <x:v>PEVC_CONFIRMED</x:v>
      </x:c>
      <x:c r="L37" s="30" t="str">
        <x:v>招股书私募基金备案表列示基金编号及管理人。</x:v>
      </x:c>
      <x:c r="M37" s="30" t="str">
        <x:v>STD-688726-032</x:v>
      </x:c>
      <x:c r="N37" s="30"/>
      <x:c r="O37" s="70" t="b">
        <x:v>0</x:v>
      </x:c>
      <x:c r="P37" s="30" t="str">
        <x:v>FINAL_APPROVED</x:v>
      </x:c>
    </x:row>
    <x:row r="38">
      <x:c r="A38" s="30" t="str">
        <x:v>STD-688726-033</x:v>
      </x:c>
      <x:c r="B38" s="30" t="str">
        <x:v>STANDARD</x:v>
      </x:c>
      <x:c r="C38" s="30" t="str">
        <x:v>STD-688726-033</x:v>
      </x:c>
      <x:c r="D38" s="30" t="str">
        <x:v>斐君隆成</x:v>
      </x:c>
      <x:c r="E38" s="30" t="str">
        <x:v>常州斐君隆成股权投资合伙企业（有限合伙）</x:v>
      </x:c>
      <x:c r="F38" s="30" t="str">
        <x:v>RECOVERED_ACCEPTED_NAME</x:v>
      </x:c>
      <x:c r="G38" s="30" t="str">
        <x:v>PARTNERSHIP</x:v>
      </x:c>
      <x:c r="H38" s="30" t="str">
        <x:v>PARTNERSHIP</x:v>
      </x:c>
      <x:c r="I38" s="30" t="str">
        <x:v>CONFIRMED</x:v>
      </x:c>
      <x:c r="J38" s="30" t="str">
        <x:v>PEVC_CANDIDATE</x:v>
      </x:c>
      <x:c r="K38" s="30" t="str">
        <x:v>PEVC_CANDIDATE</x:v>
      </x:c>
      <x:c r="L38" s="30" t="str">
        <x:v>具有投资机构名称或经营属性，但未进入本次招股书29名备案私募基金清单，保守列候选。</x:v>
      </x:c>
      <x:c r="M38" s="30" t="str">
        <x:v>STD-688726-033</x:v>
      </x:c>
      <x:c r="N38" s="30"/>
      <x:c r="O38" s="70" t="b">
        <x:v>1</x:v>
      </x:c>
      <x:c r="P38" s="30" t="str">
        <x:v>ACCEPTED_LIMITATION</x:v>
      </x:c>
    </x:row>
    <x:row r="39">
      <x:c r="A39" s="30" t="str">
        <x:v>STD-688726-034</x:v>
      </x:c>
      <x:c r="B39" s="30" t="str">
        <x:v>STANDARD</x:v>
      </x:c>
      <x:c r="C39" s="30" t="str">
        <x:v>STD-688726-034</x:v>
      </x:c>
      <x:c r="D39" s="30" t="str">
        <x:v>无锡芯动力</x:v>
      </x:c>
      <x:c r="E39" s="30" t="str">
        <x:v>无锡芯动力股权投资合伙企业（有限合伙）</x:v>
      </x:c>
      <x:c r="F39" s="30" t="str">
        <x:v>RECOVERED_ACCEPTED_NAME</x:v>
      </x:c>
      <x:c r="G39" s="30" t="str">
        <x:v>FUND</x:v>
      </x:c>
      <x:c r="H39" s="30" t="str">
        <x:v>FUND</x:v>
      </x:c>
      <x:c r="I39" s="30" t="str">
        <x:v>CONFIRMED</x:v>
      </x:c>
      <x:c r="J39" s="30" t="str">
        <x:v>PEVC_CONFIRMED</x:v>
      </x:c>
      <x:c r="K39" s="30" t="str">
        <x:v>PEVC_CONFIRMED</x:v>
      </x:c>
      <x:c r="L39" s="30" t="str">
        <x:v>招股书私募基金备案表列示基金编号及管理人。</x:v>
      </x:c>
      <x:c r="M39" s="30" t="str">
        <x:v>STD-688726-034</x:v>
      </x:c>
      <x:c r="N39" s="30"/>
      <x:c r="O39" s="70" t="b">
        <x:v>0</x:v>
      </x:c>
      <x:c r="P39" s="30" t="str">
        <x:v>FINAL_APPROVED</x:v>
      </x:c>
    </x:row>
    <x:row r="40">
      <x:c r="A40" s="30" t="str">
        <x:v>STD-688726-035</x:v>
      </x:c>
      <x:c r="B40" s="30" t="str">
        <x:v>STANDARD</x:v>
      </x:c>
      <x:c r="C40" s="30" t="str">
        <x:v>STD-688726-035</x:v>
      </x:c>
      <x:c r="D40" s="30" t="str">
        <x:v>易方新达</x:v>
      </x:c>
      <x:c r="E40" s="30" t="str">
        <x:v>易方新达创业投资（广东）合伙企业（有限合伙）</x:v>
      </x:c>
      <x:c r="F40" s="30" t="str">
        <x:v>RECOVERED_ACCEPTED_NAME</x:v>
      </x:c>
      <x:c r="G40" s="30" t="str">
        <x:v>FUND</x:v>
      </x:c>
      <x:c r="H40" s="30" t="str">
        <x:v>FUND</x:v>
      </x:c>
      <x:c r="I40" s="30" t="str">
        <x:v>CONFIRMED</x:v>
      </x:c>
      <x:c r="J40" s="30" t="str">
        <x:v>PEVC_CONFIRMED</x:v>
      </x:c>
      <x:c r="K40" s="30" t="str">
        <x:v>PEVC_CONFIRMED</x:v>
      </x:c>
      <x:c r="L40" s="30" t="str">
        <x:v>招股书私募基金备案表列示基金编号及管理人。</x:v>
      </x:c>
      <x:c r="M40" s="30" t="str">
        <x:v>STD-688726-035</x:v>
      </x:c>
      <x:c r="N40" s="30"/>
      <x:c r="O40" s="70" t="b">
        <x:v>0</x:v>
      </x:c>
      <x:c r="P40" s="30" t="str">
        <x:v>FINAL_APPROVED</x:v>
      </x:c>
    </x:row>
    <x:row r="41">
      <x:c r="A41" s="30" t="str">
        <x:v>STD-688726-036</x:v>
      </x:c>
      <x:c r="B41" s="30" t="str">
        <x:v>STANDARD</x:v>
      </x:c>
      <x:c r="C41" s="30" t="str">
        <x:v>STD-688726-036</x:v>
      </x:c>
      <x:c r="D41" s="30" t="str">
        <x:v>易方新达二号</x:v>
      </x:c>
      <x:c r="E41" s="30" t="str">
        <x:v>易方新达二号创业投资（广东）合伙企业（有限合伙）</x:v>
      </x:c>
      <x:c r="F41" s="30" t="str">
        <x:v>RECOVERED_ACCEPTED_NAME</x:v>
      </x:c>
      <x:c r="G41" s="30" t="str">
        <x:v>FUND</x:v>
      </x:c>
      <x:c r="H41" s="30" t="str">
        <x:v>FUND</x:v>
      </x:c>
      <x:c r="I41" s="30" t="str">
        <x:v>CONFIRMED</x:v>
      </x:c>
      <x:c r="J41" s="30" t="str">
        <x:v>PEVC_CONFIRMED</x:v>
      </x:c>
      <x:c r="K41" s="30" t="str">
        <x:v>PEVC_CONFIRMED</x:v>
      </x:c>
      <x:c r="L41" s="30" t="str">
        <x:v>招股书私募基金备案表列示基金编号及管理人。</x:v>
      </x:c>
      <x:c r="M41" s="30" t="str">
        <x:v>STD-688726-036</x:v>
      </x:c>
      <x:c r="N41" s="30"/>
      <x:c r="O41" s="70" t="b">
        <x:v>0</x:v>
      </x:c>
      <x:c r="P41" s="30" t="str">
        <x:v>FINAL_APPROVED</x:v>
      </x:c>
    </x:row>
    <x:row r="42">
      <x:c r="A42" s="30" t="str">
        <x:v>STD-688726-037</x:v>
      </x:c>
      <x:c r="B42" s="30" t="str">
        <x:v>STANDARD</x:v>
      </x:c>
      <x:c r="C42" s="30" t="str">
        <x:v>STD-688726-037</x:v>
      </x:c>
      <x:c r="D42" s="30" t="str">
        <x:v>昱源五期</x:v>
      </x:c>
      <x:c r="E42" s="30" t="str">
        <x:v>青岛昱源五期创业投资中心（有限合伙）</x:v>
      </x:c>
      <x:c r="F42" s="30" t="str">
        <x:v>RECOVERED_ACCEPTED_NAME</x:v>
      </x:c>
      <x:c r="G42" s="30" t="str">
        <x:v>FUND</x:v>
      </x:c>
      <x:c r="H42" s="30" t="str">
        <x:v>FUND</x:v>
      </x:c>
      <x:c r="I42" s="30" t="str">
        <x:v>CONFIRMED</x:v>
      </x:c>
      <x:c r="J42" s="30" t="str">
        <x:v>PEVC_CONFIRMED</x:v>
      </x:c>
      <x:c r="K42" s="30" t="str">
        <x:v>PEVC_CONFIRMED</x:v>
      </x:c>
      <x:c r="L42" s="30" t="str">
        <x:v>招股书私募基金备案表列示基金编号及管理人。</x:v>
      </x:c>
      <x:c r="M42" s="30" t="str">
        <x:v>STD-688726-037</x:v>
      </x:c>
      <x:c r="N42" s="30"/>
      <x:c r="O42" s="70" t="b">
        <x:v>0</x:v>
      </x:c>
      <x:c r="P42" s="30" t="str">
        <x:v>FINAL_APPROVED</x:v>
      </x:c>
    </x:row>
    <x:row r="43">
      <x:c r="A43" s="30" t="str">
        <x:v>STD-688726-038</x:v>
      </x:c>
      <x:c r="B43" s="30" t="str">
        <x:v>STANDARD</x:v>
      </x:c>
      <x:c r="C43" s="30" t="str">
        <x:v>STD-688726-038</x:v>
      </x:c>
      <x:c r="D43" s="30" t="str">
        <x:v>普朗克六号</x:v>
      </x:c>
      <x:c r="E43" s="30" t="str">
        <x:v>深圳市普朗克六号企业管理合伙企业（有限合伙）</x:v>
      </x:c>
      <x:c r="F43" s="30" t="str">
        <x:v>RECOVERED_ACCEPTED_NAME</x:v>
      </x:c>
      <x:c r="G43" s="30" t="str">
        <x:v>EMPLOYEE_PLATFORM</x:v>
      </x:c>
      <x:c r="H43" s="30" t="str">
        <x:v>EMPLOYEE_PLATFORM</x:v>
      </x:c>
      <x:c r="I43" s="30" t="str">
        <x:v>CONFIRMED</x:v>
      </x:c>
      <x:c r="J43" s="30" t="str">
        <x:v>PEVC_EXCLUDED</x:v>
      </x:c>
      <x:c r="K43" s="30" t="str">
        <x:v>PEVC_EXCLUDED</x:v>
      </x:c>
      <x:c r="L43" s="30" t="str">
        <x:v>招股书明确为实际控制人控制的员工/持股平台。</x:v>
      </x:c>
      <x:c r="M43" s="30" t="str">
        <x:v>STD-688726-038</x:v>
      </x:c>
      <x:c r="N43" s="30"/>
      <x:c r="O43" s="70" t="b">
        <x:v>0</x:v>
      </x:c>
      <x:c r="P43" s="30" t="str">
        <x:v>FINAL_APPROVED</x:v>
      </x:c>
    </x:row>
    <x:row r="44">
      <x:c r="A44" s="30" t="str">
        <x:v>STD-688726-039</x:v>
      </x:c>
      <x:c r="B44" s="30" t="str">
        <x:v>STANDARD</x:v>
      </x:c>
      <x:c r="C44" s="30" t="str">
        <x:v>STD-688726-039</x:v>
      </x:c>
      <x:c r="D44" s="30" t="str">
        <x:v>普朗克合伙</x:v>
      </x:c>
      <x:c r="E44" s="30" t="str">
        <x:v>深圳市普朗克企业管理合伙企业（有限合伙）</x:v>
      </x:c>
      <x:c r="F44" s="30" t="str">
        <x:v>RECOVERED_ACCEPTED_NAME</x:v>
      </x:c>
      <x:c r="G44" s="30" t="str">
        <x:v>EMPLOYEE_PLATFORM</x:v>
      </x:c>
      <x:c r="H44" s="30" t="str">
        <x:v>EMPLOYEE_PLATFORM</x:v>
      </x:c>
      <x:c r="I44" s="30" t="str">
        <x:v>CONFIRMED</x:v>
      </x:c>
      <x:c r="J44" s="30" t="str">
        <x:v>PEVC_EXCLUDED</x:v>
      </x:c>
      <x:c r="K44" s="30" t="str">
        <x:v>PEVC_EXCLUDED</x:v>
      </x:c>
      <x:c r="L44" s="30" t="str">
        <x:v>招股书明确为实际控制人控制的员工/持股平台。</x:v>
      </x:c>
      <x:c r="M44" s="30" t="str">
        <x:v>STD-688726-039</x:v>
      </x:c>
      <x:c r="N44" s="30"/>
      <x:c r="O44" s="70" t="b">
        <x:v>0</x:v>
      </x:c>
      <x:c r="P44" s="30" t="str">
        <x:v>FINAL_APPROVED</x:v>
      </x:c>
    </x:row>
    <x:row r="45">
      <x:c r="A45" s="30" t="str">
        <x:v>STD-688726-040</x:v>
      </x:c>
      <x:c r="B45" s="30" t="str">
        <x:v>STANDARD</x:v>
      </x:c>
      <x:c r="C45" s="30" t="str">
        <x:v>STD-688726-040</x:v>
      </x:c>
      <x:c r="D45" s="30" t="str">
        <x:v>朱雀壬寅</x:v>
      </x:c>
      <x:c r="E45" s="30" t="str">
        <x:v>上海朱雀壬寅私募投资基金合伙企业（有限合伙）</x:v>
      </x:c>
      <x:c r="F45" s="30" t="str">
        <x:v>RECOVERED_ACCEPTED_NAME</x:v>
      </x:c>
      <x:c r="G45" s="30" t="str">
        <x:v>FUND</x:v>
      </x:c>
      <x:c r="H45" s="30" t="str">
        <x:v>FUND</x:v>
      </x:c>
      <x:c r="I45" s="30" t="str">
        <x:v>CONFIRMED</x:v>
      </x:c>
      <x:c r="J45" s="30" t="str">
        <x:v>PEVC_CONFIRMED</x:v>
      </x:c>
      <x:c r="K45" s="30" t="str">
        <x:v>PEVC_CONFIRMED</x:v>
      </x:c>
      <x:c r="L45" s="30" t="str">
        <x:v>招股书私募基金备案表列示基金编号及管理人。</x:v>
      </x:c>
      <x:c r="M45" s="30" t="str">
        <x:v>STD-688726-040</x:v>
      </x:c>
      <x:c r="N45" s="30"/>
      <x:c r="O45" s="70" t="b">
        <x:v>0</x:v>
      </x:c>
      <x:c r="P45" s="30" t="str">
        <x:v>FINAL_APPROVED</x:v>
      </x:c>
    </x:row>
    <x:row r="46">
      <x:c r="A46" s="30" t="str">
        <x:v>STD-688726-041</x:v>
      </x:c>
      <x:c r="B46" s="30" t="str">
        <x:v>STANDARD</x:v>
      </x:c>
      <x:c r="C46" s="30" t="str">
        <x:v>STD-688726-041</x:v>
      </x:c>
      <x:c r="D46" s="30" t="str">
        <x:v>李恒盛</x:v>
      </x:c>
      <x:c r="E46" s="30" t="str">
        <x:v>李恒盛</x:v>
      </x:c>
      <x:c r="F46" s="30" t="str">
        <x:v>RECOVERED_ACCEPTED_NAME</x:v>
      </x:c>
      <x:c r="G46" s="30" t="str">
        <x:v>NATURAL_PERSON</x:v>
      </x:c>
      <x:c r="H46" s="30" t="str">
        <x:v>NATURAL_PERSON</x:v>
      </x:c>
      <x:c r="I46" s="30" t="str">
        <x:v>CONFIRMED</x:v>
      </x:c>
      <x:c r="J46" s="30" t="str">
        <x:v>PEVC_EXCLUDED</x:v>
      </x:c>
      <x:c r="K46" s="30" t="str">
        <x:v>PEVC_EXCLUDED</x:v>
      </x:c>
      <x:c r="L46" s="30" t="str">
        <x:v>自然人，不计入PE/VC法律主体。</x:v>
      </x:c>
      <x:c r="M46" s="30" t="str">
        <x:v>STD-688726-041</x:v>
      </x:c>
      <x:c r="N46" s="30"/>
      <x:c r="O46" s="70" t="b">
        <x:v>0</x:v>
      </x:c>
      <x:c r="P46" s="30" t="str">
        <x:v>FINAL_APPROVED</x:v>
      </x:c>
    </x:row>
    <x:row r="47">
      <x:c r="A47" s="30" t="str">
        <x:v>STD-688726-042</x:v>
      </x:c>
      <x:c r="B47" s="30" t="str">
        <x:v>STANDARD</x:v>
      </x:c>
      <x:c r="C47" s="30" t="str">
        <x:v>STD-688726-042</x:v>
      </x:c>
      <x:c r="D47" s="30" t="str">
        <x:v>杭州鋆沐</x:v>
      </x:c>
      <x:c r="E47" s="30" t="str">
        <x:v>杭州鋆沐股权投资合伙企业（有限合伙）</x:v>
      </x:c>
      <x:c r="F47" s="30" t="str">
        <x:v>RECOVERED_ACCEPTED_NAME</x:v>
      </x:c>
      <x:c r="G47" s="30" t="str">
        <x:v>FUND</x:v>
      </x:c>
      <x:c r="H47" s="30" t="str">
        <x:v>FUND</x:v>
      </x:c>
      <x:c r="I47" s="30" t="str">
        <x:v>CONFIRMED</x:v>
      </x:c>
      <x:c r="J47" s="30" t="str">
        <x:v>PEVC_CONFIRMED</x:v>
      </x:c>
      <x:c r="K47" s="30" t="str">
        <x:v>PEVC_CONFIRMED</x:v>
      </x:c>
      <x:c r="L47" s="30" t="str">
        <x:v>招股书私募基金备案表列示基金编号及管理人。</x:v>
      </x:c>
      <x:c r="M47" s="30" t="str">
        <x:v>STD-688726-042</x:v>
      </x:c>
      <x:c r="N47" s="30"/>
      <x:c r="O47" s="70" t="b">
        <x:v>0</x:v>
      </x:c>
      <x:c r="P47" s="30" t="str">
        <x:v>FINAL_APPROVED</x:v>
      </x:c>
    </x:row>
    <x:row r="48">
      <x:c r="A48" s="30" t="str">
        <x:v>STD-688726-043</x:v>
      </x:c>
      <x:c r="B48" s="30" t="str">
        <x:v>STANDARD</x:v>
      </x:c>
      <x:c r="C48" s="30" t="str">
        <x:v>STD-688726-043</x:v>
      </x:c>
      <x:c r="D48" s="30" t="str">
        <x:v>林佳继</x:v>
      </x:c>
      <x:c r="E48" s="30" t="str">
        <x:v>林佳继</x:v>
      </x:c>
      <x:c r="F48" s="30" t="str">
        <x:v>RECOVERED_ACCEPTED_NAME</x:v>
      </x:c>
      <x:c r="G48" s="30" t="str">
        <x:v>NATURAL_PERSON</x:v>
      </x:c>
      <x:c r="H48" s="30" t="str">
        <x:v>NATURAL_PERSON</x:v>
      </x:c>
      <x:c r="I48" s="30" t="str">
        <x:v>CONFIRMED</x:v>
      </x:c>
      <x:c r="J48" s="30" t="str">
        <x:v>PEVC_EXCLUDED</x:v>
      </x:c>
      <x:c r="K48" s="30" t="str">
        <x:v>PEVC_EXCLUDED</x:v>
      </x:c>
      <x:c r="L48" s="30" t="str">
        <x:v>自然人，不计入PE/VC法律主体。</x:v>
      </x:c>
      <x:c r="M48" s="30" t="str">
        <x:v>STD-688726-043</x:v>
      </x:c>
      <x:c r="N48" s="30"/>
      <x:c r="O48" s="70" t="b">
        <x:v>0</x:v>
      </x:c>
      <x:c r="P48" s="30" t="str">
        <x:v>FINAL_APPROVED</x:v>
      </x:c>
    </x:row>
    <x:row r="49">
      <x:c r="A49" s="30" t="str">
        <x:v>STD-688726-044</x:v>
      </x:c>
      <x:c r="B49" s="30" t="str">
        <x:v>STANDARD</x:v>
      </x:c>
      <x:c r="C49" s="30" t="str">
        <x:v>STD-688726-044</x:v>
      </x:c>
      <x:c r="D49" s="30" t="str">
        <x:v>林洋创投</x:v>
      </x:c>
      <x:c r="E49" s="30" t="str">
        <x:v>林洋创业投资（上海）有限公司</x:v>
      </x:c>
      <x:c r="F49" s="30" t="str">
        <x:v>RECOVERED_ACCEPTED_NAME</x:v>
      </x:c>
      <x:c r="G49" s="30" t="str">
        <x:v>COMPANY</x:v>
      </x:c>
      <x:c r="H49" s="30" t="str">
        <x:v>COMPANY</x:v>
      </x:c>
      <x:c r="I49" s="30" t="str">
        <x:v>CONFIRMED</x:v>
      </x:c>
      <x:c r="J49" s="30" t="str">
        <x:v>PEVC_CANDIDATE</x:v>
      </x:c>
      <x:c r="K49" s="30" t="str">
        <x:v>PEVC_CANDIDATE</x:v>
      </x:c>
      <x:c r="L49" s="30" t="str">
        <x:v>具有投资机构名称或经营属性，但未进入本次招股书29名备案私募基金清单，保守列候选。</x:v>
      </x:c>
      <x:c r="M49" s="30" t="str">
        <x:v>STD-688726-044</x:v>
      </x:c>
      <x:c r="N49" s="30"/>
      <x:c r="O49" s="70" t="b">
        <x:v>1</x:v>
      </x:c>
      <x:c r="P49" s="30" t="str">
        <x:v>ACCEPTED_LIMITATION</x:v>
      </x:c>
    </x:row>
    <x:row r="50">
      <x:c r="A50" s="30" t="str">
        <x:v>STD-688726-045</x:v>
      </x:c>
      <x:c r="B50" s="30" t="str">
        <x:v>STANDARD</x:v>
      </x:c>
      <x:c r="C50" s="30" t="str">
        <x:v>STD-688726-045</x:v>
      </x:c>
      <x:c r="D50" s="30" t="str">
        <x:v>正逸宁投资</x:v>
      </x:c>
      <x:c r="E50" s="30" t="str">
        <x:v>共青城正逸宁投资管理合伙企业（有限合伙）</x:v>
      </x:c>
      <x:c r="F50" s="30" t="str">
        <x:v>RECOVERED_ACCEPTED_NAME</x:v>
      </x:c>
      <x:c r="G50" s="30" t="str">
        <x:v>PARTNERSHIP</x:v>
      </x:c>
      <x:c r="H50" s="30" t="str">
        <x:v>PARTNERSHIP</x:v>
      </x:c>
      <x:c r="I50" s="30" t="str">
        <x:v>CONFIRMED</x:v>
      </x:c>
      <x:c r="J50" s="30" t="str">
        <x:v>PEVC_CANDIDATE</x:v>
      </x:c>
      <x:c r="K50" s="30" t="str">
        <x:v>PEVC_CANDIDATE</x:v>
      </x:c>
      <x:c r="L50" s="30" t="str">
        <x:v>具有投资机构名称或经营属性，但未进入本次招股书29名备案私募基金清单，保守列候选。</x:v>
      </x:c>
      <x:c r="M50" s="30" t="str">
        <x:v>STD-688726-045</x:v>
      </x:c>
      <x:c r="N50" s="30"/>
      <x:c r="O50" s="70" t="b">
        <x:v>1</x:v>
      </x:c>
      <x:c r="P50" s="30" t="str">
        <x:v>ACCEPTED_LIMITATION</x:v>
      </x:c>
    </x:row>
    <x:row r="51">
      <x:c r="A51" s="30" t="str">
        <x:v>STD-688726-046</x:v>
      </x:c>
      <x:c r="B51" s="30" t="str">
        <x:v>STANDARD</x:v>
      </x:c>
      <x:c r="C51" s="30" t="str">
        <x:v>STD-688726-046</x:v>
      </x:c>
      <x:c r="D51" s="30" t="str">
        <x:v>海南与君</x:v>
      </x:c>
      <x:c r="E51" s="30" t="str">
        <x:v>海南与君投资合伙企业（有限合伙）</x:v>
      </x:c>
      <x:c r="F51" s="30" t="str">
        <x:v>RECOVERED_ACCEPTED_NAME</x:v>
      </x:c>
      <x:c r="G51" s="30" t="str">
        <x:v>PARTNERSHIP</x:v>
      </x:c>
      <x:c r="H51" s="30" t="str">
        <x:v>PARTNERSHIP</x:v>
      </x:c>
      <x:c r="I51" s="30" t="str">
        <x:v>CONFIRMED</x:v>
      </x:c>
      <x:c r="J51" s="30" t="str">
        <x:v>PEVC_CANDIDATE</x:v>
      </x:c>
      <x:c r="K51" s="30" t="str">
        <x:v>PEVC_CANDIDATE</x:v>
      </x:c>
      <x:c r="L51" s="30" t="str">
        <x:v>具有投资机构名称或经营属性，但未进入本次招股书29名备案私募基金清单，保守列候选。</x:v>
      </x:c>
      <x:c r="M51" s="30" t="str">
        <x:v>STD-688726-046</x:v>
      </x:c>
      <x:c r="N51" s="30"/>
      <x:c r="O51" s="70" t="b">
        <x:v>1</x:v>
      </x:c>
      <x:c r="P51" s="30" t="str">
        <x:v>ACCEPTED_LIMITATION</x:v>
      </x:c>
    </x:row>
    <x:row r="52">
      <x:c r="A52" s="30" t="str">
        <x:v>STD-688726-047</x:v>
      </x:c>
      <x:c r="B52" s="30" t="str">
        <x:v>STANDARD</x:v>
      </x:c>
      <x:c r="C52" s="30" t="str">
        <x:v>STD-688726-047</x:v>
      </x:c>
      <x:c r="D52" s="30" t="str">
        <x:v>海南同致</x:v>
      </x:c>
      <x:c r="E52" s="30" t="str">
        <x:v>海南同致投资合伙企业（有限合伙）</x:v>
      </x:c>
      <x:c r="F52" s="30" t="str">
        <x:v>RECOVERED_ACCEPTED_NAME</x:v>
      </x:c>
      <x:c r="G52" s="30" t="str">
        <x:v>PARTNERSHIP</x:v>
      </x:c>
      <x:c r="H52" s="30" t="str">
        <x:v>PARTNERSHIP</x:v>
      </x:c>
      <x:c r="I52" s="30" t="str">
        <x:v>CONFIRMED</x:v>
      </x:c>
      <x:c r="J52" s="30" t="str">
        <x:v>PEVC_CANDIDATE</x:v>
      </x:c>
      <x:c r="K52" s="30" t="str">
        <x:v>PEVC_CANDIDATE</x:v>
      </x:c>
      <x:c r="L52" s="30" t="str">
        <x:v>具有投资机构名称或经营属性，但未进入本次招股书29名备案私募基金清单，保守列候选。</x:v>
      </x:c>
      <x:c r="M52" s="30" t="str">
        <x:v>STD-688726-047</x:v>
      </x:c>
      <x:c r="N52" s="30"/>
      <x:c r="O52" s="70" t="b">
        <x:v>1</x:v>
      </x:c>
      <x:c r="P52" s="30" t="str">
        <x:v>ACCEPTED_LIMITATION</x:v>
      </x:c>
    </x:row>
    <x:row r="53">
      <x:c r="A53" s="30" t="str">
        <x:v>STD-688726-048</x:v>
      </x:c>
      <x:c r="B53" s="30" t="str">
        <x:v>STANDARD</x:v>
      </x:c>
      <x:c r="C53" s="30" t="str">
        <x:v>STD-688726-048</x:v>
      </x:c>
      <x:c r="D53" s="30" t="str">
        <x:v>海南瑞麟</x:v>
      </x:c>
      <x:c r="E53" s="30" t="str">
        <x:v>海南瑞麟壹号投资合伙企业（有限合伙）</x:v>
      </x:c>
      <x:c r="F53" s="30" t="str">
        <x:v>RECOVERED_ACCEPTED_NAME</x:v>
      </x:c>
      <x:c r="G53" s="30" t="str">
        <x:v>PARTNERSHIP</x:v>
      </x:c>
      <x:c r="H53" s="30" t="str">
        <x:v>PARTNERSHIP</x:v>
      </x:c>
      <x:c r="I53" s="30" t="str">
        <x:v>CONFIRMED</x:v>
      </x:c>
      <x:c r="J53" s="30" t="str">
        <x:v>PEVC_CANDIDATE</x:v>
      </x:c>
      <x:c r="K53" s="30" t="str">
        <x:v>PEVC_CANDIDATE</x:v>
      </x:c>
      <x:c r="L53" s="30" t="str">
        <x:v>具有投资机构名称或经营属性，但未进入本次招股书29名备案私募基金清单，保守列候选。</x:v>
      </x:c>
      <x:c r="M53" s="30" t="str">
        <x:v>STD-688726-048</x:v>
      </x:c>
      <x:c r="N53" s="30"/>
      <x:c r="O53" s="70" t="b">
        <x:v>1</x:v>
      </x:c>
      <x:c r="P53" s="30" t="str">
        <x:v>ACCEPTED_LIMITATION</x:v>
      </x:c>
    </x:row>
    <x:row r="54">
      <x:c r="A54" s="30" t="str">
        <x:v>STD-688726-049</x:v>
      </x:c>
      <x:c r="B54" s="30" t="str">
        <x:v>STANDARD</x:v>
      </x:c>
      <x:c r="C54" s="30" t="str">
        <x:v>STD-688726-049</x:v>
      </x:c>
      <x:c r="D54" s="30" t="str">
        <x:v>盛欣投资</x:v>
      </x:c>
      <x:c r="E54" s="30" t="str">
        <x:v>淄博盛欣股权投资合伙企业（有限合伙）</x:v>
      </x:c>
      <x:c r="F54" s="30" t="str">
        <x:v>RECOVERED_ACCEPTED_NAME</x:v>
      </x:c>
      <x:c r="G54" s="30" t="str">
        <x:v>FUND</x:v>
      </x:c>
      <x:c r="H54" s="30" t="str">
        <x:v>FUND</x:v>
      </x:c>
      <x:c r="I54" s="30" t="str">
        <x:v>CONFIRMED</x:v>
      </x:c>
      <x:c r="J54" s="30" t="str">
        <x:v>PEVC_CONFIRMED</x:v>
      </x:c>
      <x:c r="K54" s="30" t="str">
        <x:v>PEVC_CONFIRMED</x:v>
      </x:c>
      <x:c r="L54" s="30" t="str">
        <x:v>招股书私募基金备案表列示基金编号及管理人。</x:v>
      </x:c>
      <x:c r="M54" s="30" t="str">
        <x:v>STD-688726-049</x:v>
      </x:c>
      <x:c r="N54" s="30"/>
      <x:c r="O54" s="70" t="b">
        <x:v>0</x:v>
      </x:c>
      <x:c r="P54" s="30" t="str">
        <x:v>FINAL_APPROVED</x:v>
      </x:c>
    </x:row>
    <x:row r="55">
      <x:c r="A55" s="30" t="str">
        <x:v>STD-688726-050</x:v>
      </x:c>
      <x:c r="B55" s="30" t="str">
        <x:v>STANDARD</x:v>
      </x:c>
      <x:c r="C55" s="30" t="str">
        <x:v>STD-688726-050</x:v>
      </x:c>
      <x:c r="D55" s="30" t="str">
        <x:v>秋石一号</x:v>
      </x:c>
      <x:c r="E55" s="30" t="str">
        <x:v>厦门秋石一号投资管理合伙企业（有限合伙）</x:v>
      </x:c>
      <x:c r="F55" s="30" t="str">
        <x:v>RECOVERED_ACCEPTED_NAME</x:v>
      </x:c>
      <x:c r="G55" s="30" t="str">
        <x:v>FUND</x:v>
      </x:c>
      <x:c r="H55" s="30" t="str">
        <x:v>FUND</x:v>
      </x:c>
      <x:c r="I55" s="30" t="str">
        <x:v>CONFIRMED</x:v>
      </x:c>
      <x:c r="J55" s="30" t="str">
        <x:v>PEVC_CONFIRMED</x:v>
      </x:c>
      <x:c r="K55" s="30" t="str">
        <x:v>PEVC_CONFIRMED</x:v>
      </x:c>
      <x:c r="L55" s="30" t="str">
        <x:v>招股书私募基金备案表列示基金编号及管理人。</x:v>
      </x:c>
      <x:c r="M55" s="30" t="str">
        <x:v>STD-688726-050</x:v>
      </x:c>
      <x:c r="N55" s="30"/>
      <x:c r="O55" s="70" t="b">
        <x:v>0</x:v>
      </x:c>
      <x:c r="P55" s="30" t="str">
        <x:v>FINAL_APPROVED</x:v>
      </x:c>
    </x:row>
    <x:row r="56">
      <x:c r="A56" s="30" t="str">
        <x:v>STD-688726-051</x:v>
      </x:c>
      <x:c r="B56" s="30" t="str">
        <x:v>STANDARD</x:v>
      </x:c>
      <x:c r="C56" s="30" t="str">
        <x:v>STD-688726-051</x:v>
      </x:c>
      <x:c r="D56" s="30" t="str">
        <x:v>秋石二号</x:v>
      </x:c>
      <x:c r="E56" s="30" t="str">
        <x:v>厦门秋石二号投资管理合伙企业（有限合伙）</x:v>
      </x:c>
      <x:c r="F56" s="30" t="str">
        <x:v>RECOVERED_ACCEPTED_NAME</x:v>
      </x:c>
      <x:c r="G56" s="30" t="str">
        <x:v>FUND</x:v>
      </x:c>
      <x:c r="H56" s="30" t="str">
        <x:v>FUND</x:v>
      </x:c>
      <x:c r="I56" s="30" t="str">
        <x:v>CONFIRMED</x:v>
      </x:c>
      <x:c r="J56" s="30" t="str">
        <x:v>PEVC_CONFIRMED</x:v>
      </x:c>
      <x:c r="K56" s="30" t="str">
        <x:v>PEVC_CONFIRMED</x:v>
      </x:c>
      <x:c r="L56" s="30" t="str">
        <x:v>招股书私募基金备案表列示基金编号及管理人。</x:v>
      </x:c>
      <x:c r="M56" s="30" t="str">
        <x:v>STD-688726-051</x:v>
      </x:c>
      <x:c r="N56" s="30"/>
      <x:c r="O56" s="70" t="b">
        <x:v>0</x:v>
      </x:c>
      <x:c r="P56" s="30" t="str">
        <x:v>FINAL_APPROVED</x:v>
      </x:c>
    </x:row>
    <x:row r="57">
      <x:c r="A57" s="30" t="str">
        <x:v>STD-688726-052</x:v>
      </x:c>
      <x:c r="B57" s="30" t="str">
        <x:v>STANDARD</x:v>
      </x:c>
      <x:c r="C57" s="30" t="str">
        <x:v>STD-688726-052</x:v>
      </x:c>
      <x:c r="D57" s="30" t="str">
        <x:v>秋石二期</x:v>
      </x:c>
      <x:c r="E57" s="30" t="str">
        <x:v>嘉兴秋石二期创业投资合伙企业（有限合伙）</x:v>
      </x:c>
      <x:c r="F57" s="30" t="str">
        <x:v>RECOVERED_ACCEPTED_NAME</x:v>
      </x:c>
      <x:c r="G57" s="30" t="str">
        <x:v>FUND</x:v>
      </x:c>
      <x:c r="H57" s="30" t="str">
        <x:v>FUND</x:v>
      </x:c>
      <x:c r="I57" s="30" t="str">
        <x:v>CONFIRMED</x:v>
      </x:c>
      <x:c r="J57" s="30" t="str">
        <x:v>PEVC_CONFIRMED</x:v>
      </x:c>
      <x:c r="K57" s="30" t="str">
        <x:v>PEVC_CONFIRMED</x:v>
      </x:c>
      <x:c r="L57" s="30" t="str">
        <x:v>招股书私募基金备案表列示基金编号及管理人。</x:v>
      </x:c>
      <x:c r="M57" s="30" t="str">
        <x:v>STD-688726-052</x:v>
      </x:c>
      <x:c r="N57" s="30"/>
      <x:c r="O57" s="70" t="b">
        <x:v>0</x:v>
      </x:c>
      <x:c r="P57" s="30" t="str">
        <x:v>FINAL_APPROVED</x:v>
      </x:c>
    </x:row>
    <x:row r="58">
      <x:c r="A58" s="30" t="str">
        <x:v>STD-688726-053</x:v>
      </x:c>
      <x:c r="B58" s="30" t="str">
        <x:v>STANDARD</x:v>
      </x:c>
      <x:c r="C58" s="30" t="str">
        <x:v>STD-688726-053</x:v>
      </x:c>
      <x:c r="D58" s="30" t="str">
        <x:v>科创二号</x:v>
      </x:c>
      <x:c r="E58" s="30" t="str">
        <x:v>广州科创智汇二号创业投资合伙企业（有限合伙）</x:v>
      </x:c>
      <x:c r="F58" s="30" t="str">
        <x:v>RECOVERED_ACCEPTED_NAME</x:v>
      </x:c>
      <x:c r="G58" s="30" t="str">
        <x:v>FUND</x:v>
      </x:c>
      <x:c r="H58" s="30" t="str">
        <x:v>FUND</x:v>
      </x:c>
      <x:c r="I58" s="30" t="str">
        <x:v>CONFIRMED</x:v>
      </x:c>
      <x:c r="J58" s="30" t="str">
        <x:v>PEVC_CONFIRMED</x:v>
      </x:c>
      <x:c r="K58" s="30" t="str">
        <x:v>PEVC_CONFIRMED</x:v>
      </x:c>
      <x:c r="L58" s="30" t="str">
        <x:v>招股书私募基金备案表列示基金编号及管理人。</x:v>
      </x:c>
      <x:c r="M58" s="30" t="str">
        <x:v>STD-688726-053</x:v>
      </x:c>
      <x:c r="N58" s="30"/>
      <x:c r="O58" s="70" t="b">
        <x:v>0</x:v>
      </x:c>
      <x:c r="P58" s="30" t="str">
        <x:v>FINAL_APPROVED</x:v>
      </x:c>
    </x:row>
    <x:row r="59">
      <x:c r="A59" s="30" t="str">
        <x:v>STD-688726-054</x:v>
      </x:c>
      <x:c r="B59" s="30" t="str">
        <x:v>STANDARD</x:v>
      </x:c>
      <x:c r="C59" s="30" t="str">
        <x:v>STD-688726-054</x:v>
      </x:c>
      <x:c r="D59" s="30" t="str">
        <x:v>科创产投</x:v>
      </x:c>
      <x:c r="E59" s="30" t="str">
        <x:v>广州科创产业投资基金合伙企业（有限合伙）</x:v>
      </x:c>
      <x:c r="F59" s="30" t="str">
        <x:v>RECOVERED_ACCEPTED_NAME</x:v>
      </x:c>
      <x:c r="G59" s="30" t="str">
        <x:v>FUND</x:v>
      </x:c>
      <x:c r="H59" s="30" t="str">
        <x:v>FUND</x:v>
      </x:c>
      <x:c r="I59" s="30" t="str">
        <x:v>CONFIRMED</x:v>
      </x:c>
      <x:c r="J59" s="30" t="str">
        <x:v>PEVC_CONFIRMED</x:v>
      </x:c>
      <x:c r="K59" s="30" t="str">
        <x:v>PEVC_CONFIRMED</x:v>
      </x:c>
      <x:c r="L59" s="30" t="str">
        <x:v>招股书私募基金备案表列示基金编号及管理人。</x:v>
      </x:c>
      <x:c r="M59" s="30" t="str">
        <x:v>STD-688726-054</x:v>
      </x:c>
      <x:c r="N59" s="30"/>
      <x:c r="O59" s="70" t="b">
        <x:v>0</x:v>
      </x:c>
      <x:c r="P59" s="30" t="str">
        <x:v>FINAL_APPROVED</x:v>
      </x:c>
    </x:row>
    <x:row r="60">
      <x:c r="A60" s="30" t="str">
        <x:v>STD-688726-055</x:v>
      </x:c>
      <x:c r="B60" s="30" t="str">
        <x:v>STANDARD</x:v>
      </x:c>
      <x:c r="C60" s="30" t="str">
        <x:v>STD-688726-055</x:v>
      </x:c>
      <x:c r="D60" s="30" t="str">
        <x:v>笛卡尔合伙</x:v>
      </x:c>
      <x:c r="E60" s="30" t="str">
        <x:v>深圳市笛卡尔企业管理合伙企业（有限合伙）</x:v>
      </x:c>
      <x:c r="F60" s="30" t="str">
        <x:v>RECOVERED_ACCEPTED_NAME</x:v>
      </x:c>
      <x:c r="G60" s="30" t="str">
        <x:v>EMPLOYEE_PLATFORM</x:v>
      </x:c>
      <x:c r="H60" s="30" t="str">
        <x:v>EMPLOYEE_PLATFORM</x:v>
      </x:c>
      <x:c r="I60" s="30" t="str">
        <x:v>CONFIRMED</x:v>
      </x:c>
      <x:c r="J60" s="30" t="str">
        <x:v>PEVC_EXCLUDED</x:v>
      </x:c>
      <x:c r="K60" s="30" t="str">
        <x:v>PEVC_EXCLUDED</x:v>
      </x:c>
      <x:c r="L60" s="30" t="str">
        <x:v>招股书明确为实际控制人控制的员工/持股平台。</x:v>
      </x:c>
      <x:c r="M60" s="30" t="str">
        <x:v>STD-688726-055</x:v>
      </x:c>
      <x:c r="N60" s="30"/>
      <x:c r="O60" s="70" t="b">
        <x:v>0</x:v>
      </x:c>
      <x:c r="P60" s="30" t="str">
        <x:v>FINAL_APPROVED</x:v>
      </x:c>
    </x:row>
    <x:row r="61">
      <x:c r="A61" s="30" t="str">
        <x:v>STD-688726-056</x:v>
      </x:c>
      <x:c r="B61" s="30" t="str">
        <x:v>STANDARD</x:v>
      </x:c>
      <x:c r="C61" s="30" t="str">
        <x:v>STD-688726-056</x:v>
      </x:c>
      <x:c r="D61" s="30" t="str">
        <x:v>聚源芯创</x:v>
      </x:c>
      <x:c r="E61" s="30" t="str">
        <x:v>深圳聚源芯创私募股权投资基金合伙企业（有限合伙）</x:v>
      </x:c>
      <x:c r="F61" s="30" t="str">
        <x:v>RECOVERED_ACCEPTED_NAME</x:v>
      </x:c>
      <x:c r="G61" s="30" t="str">
        <x:v>FUND</x:v>
      </x:c>
      <x:c r="H61" s="30" t="str">
        <x:v>FUND</x:v>
      </x:c>
      <x:c r="I61" s="30" t="str">
        <x:v>CONFIRMED</x:v>
      </x:c>
      <x:c r="J61" s="30" t="str">
        <x:v>PEVC_CONFIRMED</x:v>
      </x:c>
      <x:c r="K61" s="30" t="str">
        <x:v>PEVC_CONFIRMED</x:v>
      </x:c>
      <x:c r="L61" s="30" t="str">
        <x:v>招股书私募基金备案表列示基金编号及管理人。</x:v>
      </x:c>
      <x:c r="M61" s="30" t="str">
        <x:v>STD-688726-056</x:v>
      </x:c>
      <x:c r="N61" s="30"/>
      <x:c r="O61" s="70" t="b">
        <x:v>0</x:v>
      </x:c>
      <x:c r="P61" s="30" t="str">
        <x:v>FINAL_APPROVED</x:v>
      </x:c>
    </x:row>
    <x:row r="62">
      <x:c r="A62" s="30" t="str">
        <x:v>STD-688726-057</x:v>
      </x:c>
      <x:c r="B62" s="30" t="str">
        <x:v>STANDARD</x:v>
      </x:c>
      <x:c r="C62" s="30" t="str">
        <x:v>STD-688726-057</x:v>
      </x:c>
      <x:c r="D62" s="30" t="str">
        <x:v>胡中祥</x:v>
      </x:c>
      <x:c r="E62" s="30" t="str">
        <x:v>胡中祥</x:v>
      </x:c>
      <x:c r="F62" s="30" t="str">
        <x:v>RECOVERED_ACCEPTED_NAME</x:v>
      </x:c>
      <x:c r="G62" s="30" t="str">
        <x:v>NATURAL_PERSON</x:v>
      </x:c>
      <x:c r="H62" s="30" t="str">
        <x:v>NATURAL_PERSON</x:v>
      </x:c>
      <x:c r="I62" s="30" t="str">
        <x:v>CONFIRMED</x:v>
      </x:c>
      <x:c r="J62" s="30" t="str">
        <x:v>PEVC_EXCLUDED</x:v>
      </x:c>
      <x:c r="K62" s="30" t="str">
        <x:v>PEVC_EXCLUDED</x:v>
      </x:c>
      <x:c r="L62" s="30" t="str">
        <x:v>自然人，不计入PE/VC法律主体。</x:v>
      </x:c>
      <x:c r="M62" s="30" t="str">
        <x:v>STD-688726-057</x:v>
      </x:c>
      <x:c r="N62" s="30"/>
      <x:c r="O62" s="70" t="b">
        <x:v>0</x:v>
      </x:c>
      <x:c r="P62" s="30" t="str">
        <x:v>FINAL_APPROVED</x:v>
      </x:c>
    </x:row>
    <x:row r="63">
      <x:c r="A63" s="30" t="str">
        <x:v>STD-688726-058</x:v>
      </x:c>
      <x:c r="B63" s="30" t="str">
        <x:v>STANDARD</x:v>
      </x:c>
      <x:c r="C63" s="30" t="str">
        <x:v>STD-688726-058</x:v>
      </x:c>
      <x:c r="D63" s="30" t="str">
        <x:v>自强合伙</x:v>
      </x:c>
      <x:c r="E63" s="30" t="str">
        <x:v>深圳市自强企业管理合伙企业（有限合伙）</x:v>
      </x:c>
      <x:c r="F63" s="30" t="str">
        <x:v>RECOVERED_ACCEPTED_NAME</x:v>
      </x:c>
      <x:c r="G63" s="30" t="str">
        <x:v>EMPLOYEE_PLATFORM</x:v>
      </x:c>
      <x:c r="H63" s="30" t="str">
        <x:v>EMPLOYEE_PLATFORM</x:v>
      </x:c>
      <x:c r="I63" s="30" t="str">
        <x:v>CONFIRMED</x:v>
      </x:c>
      <x:c r="J63" s="30" t="str">
        <x:v>PEVC_EXCLUDED</x:v>
      </x:c>
      <x:c r="K63" s="30" t="str">
        <x:v>PEVC_EXCLUDED</x:v>
      </x:c>
      <x:c r="L63" s="30" t="str">
        <x:v>招股书明确为实际控制人控制的员工/持股平台。</x:v>
      </x:c>
      <x:c r="M63" s="30" t="str">
        <x:v>STD-688726-058</x:v>
      </x:c>
      <x:c r="N63" s="30"/>
      <x:c r="O63" s="70" t="b">
        <x:v>0</x:v>
      </x:c>
      <x:c r="P63" s="30" t="str">
        <x:v>FINAL_APPROVED</x:v>
      </x:c>
    </x:row>
    <x:row r="64">
      <x:c r="A64" s="30" t="str">
        <x:v>STD-688726-059</x:v>
      </x:c>
      <x:c r="B64" s="30" t="str">
        <x:v>STANDARD</x:v>
      </x:c>
      <x:c r="C64" s="30" t="str">
        <x:v>STD-688726-059</x:v>
      </x:c>
      <x:c r="D64" s="30" t="str">
        <x:v>蔡鑫</x:v>
      </x:c>
      <x:c r="E64" s="30" t="str">
        <x:v>蔡鑫</x:v>
      </x:c>
      <x:c r="F64" s="30" t="str">
        <x:v>RECOVERED_ACCEPTED_NAME</x:v>
      </x:c>
      <x:c r="G64" s="30" t="str">
        <x:v>NATURAL_PERSON</x:v>
      </x:c>
      <x:c r="H64" s="30" t="str">
        <x:v>NATURAL_PERSON</x:v>
      </x:c>
      <x:c r="I64" s="30" t="str">
        <x:v>CONFIRMED</x:v>
      </x:c>
      <x:c r="J64" s="30" t="str">
        <x:v>PEVC_EXCLUDED</x:v>
      </x:c>
      <x:c r="K64" s="30" t="str">
        <x:v>PEVC_EXCLUDED</x:v>
      </x:c>
      <x:c r="L64" s="30" t="str">
        <x:v>自然人，不计入PE/VC法律主体。</x:v>
      </x:c>
      <x:c r="M64" s="30" t="str">
        <x:v>STD-688726-059</x:v>
      </x:c>
      <x:c r="N64" s="30"/>
      <x:c r="O64" s="70" t="b">
        <x:v>0</x:v>
      </x:c>
      <x:c r="P64" s="30" t="str">
        <x:v>FINAL_APPROVED</x:v>
      </x:c>
    </x:row>
    <x:row r="65">
      <x:c r="A65" s="30" t="str">
        <x:v>STD-688726-060</x:v>
      </x:c>
      <x:c r="B65" s="30" t="str">
        <x:v>STANDARD</x:v>
      </x:c>
      <x:c r="C65" s="30" t="str">
        <x:v>STD-688726-060</x:v>
      </x:c>
      <x:c r="D65" s="30" t="str">
        <x:v>行远志恒</x:v>
      </x:c>
      <x:c r="E65" s="30" t="str">
        <x:v>共青城行远志恒股权投资合伙企业（有限合伙）</x:v>
      </x:c>
      <x:c r="F65" s="30" t="str">
        <x:v>RECOVERED_ACCEPTED_NAME</x:v>
      </x:c>
      <x:c r="G65" s="30" t="str">
        <x:v>FUND</x:v>
      </x:c>
      <x:c r="H65" s="30" t="str">
        <x:v>FUND</x:v>
      </x:c>
      <x:c r="I65" s="30" t="str">
        <x:v>CONFIRMED</x:v>
      </x:c>
      <x:c r="J65" s="30" t="str">
        <x:v>PEVC_CONFIRMED</x:v>
      </x:c>
      <x:c r="K65" s="30" t="str">
        <x:v>PEVC_CONFIRMED</x:v>
      </x:c>
      <x:c r="L65" s="30" t="str">
        <x:v>招股书私募基金备案表列示基金编号及管理人。</x:v>
      </x:c>
      <x:c r="M65" s="30" t="str">
        <x:v>STD-688726-060</x:v>
      </x:c>
      <x:c r="N65" s="30"/>
      <x:c r="O65" s="70" t="b">
        <x:v>0</x:v>
      </x:c>
      <x:c r="P65" s="30" t="str">
        <x:v>FINAL_APPROVED</x:v>
      </x:c>
    </x:row>
    <x:row r="66">
      <x:c r="A66" s="30" t="str">
        <x:v>STD-688726-061</x:v>
      </x:c>
      <x:c r="B66" s="30" t="str">
        <x:v>STANDARD</x:v>
      </x:c>
      <x:c r="C66" s="30" t="str">
        <x:v>STD-688726-061</x:v>
      </x:c>
      <x:c r="D66" s="30" t="str">
        <x:v>赛格合创</x:v>
      </x:c>
      <x:c r="E66" s="30" t="str">
        <x:v>张家港深投控赛格合创股权投资合伙企业（有限合伙）</x:v>
      </x:c>
      <x:c r="F66" s="30" t="str">
        <x:v>RECOVERED_ACCEPTED_NAME</x:v>
      </x:c>
      <x:c r="G66" s="30" t="str">
        <x:v>FUND</x:v>
      </x:c>
      <x:c r="H66" s="30" t="str">
        <x:v>FUND</x:v>
      </x:c>
      <x:c r="I66" s="30" t="str">
        <x:v>CONFIRMED</x:v>
      </x:c>
      <x:c r="J66" s="30" t="str">
        <x:v>PEVC_CONFIRMED</x:v>
      </x:c>
      <x:c r="K66" s="30" t="str">
        <x:v>PEVC_CONFIRMED</x:v>
      </x:c>
      <x:c r="L66" s="30" t="str">
        <x:v>招股书私募基金备案表列示基金编号及管理人。</x:v>
      </x:c>
      <x:c r="M66" s="30" t="str">
        <x:v>STD-688726-061</x:v>
      </x:c>
      <x:c r="N66" s="30"/>
      <x:c r="O66" s="70" t="b">
        <x:v>0</x:v>
      </x:c>
      <x:c r="P66" s="30" t="str">
        <x:v>FINAL_APPROVED</x:v>
      </x:c>
    </x:row>
    <x:row r="67">
      <x:c r="A67" s="30" t="str">
        <x:v>STD-688726-062</x:v>
      </x:c>
      <x:c r="B67" s="30" t="str">
        <x:v>STANDARD</x:v>
      </x:c>
      <x:c r="C67" s="30" t="str">
        <x:v>STD-688726-062</x:v>
      </x:c>
      <x:c r="D67" s="30" t="str">
        <x:v>赵天雪</x:v>
      </x:c>
      <x:c r="E67" s="30" t="str">
        <x:v>赵天雪</x:v>
      </x:c>
      <x:c r="F67" s="30" t="str">
        <x:v>RECOVERED_ACCEPTED_NAME</x:v>
      </x:c>
      <x:c r="G67" s="30" t="str">
        <x:v>NATURAL_PERSON</x:v>
      </x:c>
      <x:c r="H67" s="30" t="str">
        <x:v>NATURAL_PERSON</x:v>
      </x:c>
      <x:c r="I67" s="30" t="str">
        <x:v>CONFIRMED</x:v>
      </x:c>
      <x:c r="J67" s="30" t="str">
        <x:v>PEVC_EXCLUDED</x:v>
      </x:c>
      <x:c r="K67" s="30" t="str">
        <x:v>PEVC_EXCLUDED</x:v>
      </x:c>
      <x:c r="L67" s="30" t="str">
        <x:v>自然人，不计入PE/VC法律主体。</x:v>
      </x:c>
      <x:c r="M67" s="30" t="str">
        <x:v>STD-688726-062</x:v>
      </x:c>
      <x:c r="N67" s="30"/>
      <x:c r="O67" s="70" t="b">
        <x:v>0</x:v>
      </x:c>
      <x:c r="P67" s="30" t="str">
        <x:v>FINAL_APPROVED</x:v>
      </x:c>
    </x:row>
    <x:row r="68">
      <x:c r="A68" s="30" t="str">
        <x:v>STD-688726-063</x:v>
      </x:c>
      <x:c r="B68" s="30" t="str">
        <x:v>STANDARD</x:v>
      </x:c>
      <x:c r="C68" s="30" t="str">
        <x:v>STD-688726-063</x:v>
      </x:c>
      <x:c r="D68" s="30" t="str">
        <x:v>赵永红</x:v>
      </x:c>
      <x:c r="E68" s="30" t="str">
        <x:v>赵永红</x:v>
      </x:c>
      <x:c r="F68" s="30" t="str">
        <x:v>RECOVERED_ACCEPTED_NAME</x:v>
      </x:c>
      <x:c r="G68" s="30" t="str">
        <x:v>NATURAL_PERSON</x:v>
      </x:c>
      <x:c r="H68" s="30" t="str">
        <x:v>NATURAL_PERSON</x:v>
      </x:c>
      <x:c r="I68" s="30" t="str">
        <x:v>CONFIRMED</x:v>
      </x:c>
      <x:c r="J68" s="30" t="str">
        <x:v>PEVC_EXCLUDED</x:v>
      </x:c>
      <x:c r="K68" s="30" t="str">
        <x:v>PEVC_EXCLUDED</x:v>
      </x:c>
      <x:c r="L68" s="30" t="str">
        <x:v>自然人，不计入PE/VC法律主体。</x:v>
      </x:c>
      <x:c r="M68" s="30" t="str">
        <x:v>STD-688726-063</x:v>
      </x:c>
      <x:c r="N68" s="30"/>
      <x:c r="O68" s="70" t="b">
        <x:v>0</x:v>
      </x:c>
      <x:c r="P68" s="30" t="str">
        <x:v>FINAL_APPROVED</x:v>
      </x:c>
    </x:row>
    <x:row r="69">
      <x:c r="A69" s="30" t="str">
        <x:v>STD-688726-064</x:v>
      </x:c>
      <x:c r="B69" s="30" t="str">
        <x:v>STANDARD</x:v>
      </x:c>
      <x:c r="C69" s="30" t="str">
        <x:v>STD-688726-064</x:v>
      </x:c>
      <x:c r="D69" s="30" t="str">
        <x:v>赵能平</x:v>
      </x:c>
      <x:c r="E69" s="30" t="str">
        <x:v>赵能平</x:v>
      </x:c>
      <x:c r="F69" s="30" t="str">
        <x:v>RECOVERED_ACCEPTED_NAME</x:v>
      </x:c>
      <x:c r="G69" s="30" t="str">
        <x:v>NATURAL_PERSON</x:v>
      </x:c>
      <x:c r="H69" s="30" t="str">
        <x:v>NATURAL_PERSON</x:v>
      </x:c>
      <x:c r="I69" s="30" t="str">
        <x:v>CONFIRMED</x:v>
      </x:c>
      <x:c r="J69" s="30" t="str">
        <x:v>PEVC_EXCLUDED</x:v>
      </x:c>
      <x:c r="K69" s="30" t="str">
        <x:v>PEVC_EXCLUDED</x:v>
      </x:c>
      <x:c r="L69" s="30" t="str">
        <x:v>自然人，不计入PE/VC法律主体。</x:v>
      </x:c>
      <x:c r="M69" s="30" t="str">
        <x:v>STD-688726-064</x:v>
      </x:c>
      <x:c r="N69" s="30"/>
      <x:c r="O69" s="70" t="b">
        <x:v>0</x:v>
      </x:c>
      <x:c r="P69" s="30" t="str">
        <x:v>FINAL_APPROVED</x:v>
      </x:c>
    </x:row>
    <x:row r="70">
      <x:c r="A70" s="30" t="str">
        <x:v>STD-688726-065</x:v>
      </x:c>
      <x:c r="B70" s="30" t="str">
        <x:v>STANDARD</x:v>
      </x:c>
      <x:c r="C70" s="30" t="str">
        <x:v>STD-688726-065</x:v>
      </x:c>
      <x:c r="D70" s="30" t="str">
        <x:v>连城数控</x:v>
      </x:c>
      <x:c r="E70" s="30" t="str">
        <x:v>大连连城数控机器股份有限公司</x:v>
      </x:c>
      <x:c r="F70" s="30" t="str">
        <x:v>RECOVERED_ACCEPTED_NAME</x:v>
      </x:c>
      <x:c r="G70" s="30" t="str">
        <x:v>COMPANY</x:v>
      </x:c>
      <x:c r="H70" s="30" t="str">
        <x:v>COMPANY</x:v>
      </x:c>
      <x:c r="I70" s="30" t="str">
        <x:v>CONFIRMED</x:v>
      </x:c>
      <x:c r="J70" s="30" t="str">
        <x:v>PEVC_EXCLUDED</x:v>
      </x:c>
      <x:c r="K70" s="30" t="str">
        <x:v>PEVC_EXCLUDED</x:v>
      </x:c>
      <x:c r="L70" s="30" t="str">
        <x:v>未获得足以确认PE/VC的招股书证据。</x:v>
      </x:c>
      <x:c r="M70" s="30" t="str">
        <x:v>STD-688726-065</x:v>
      </x:c>
      <x:c r="N70" s="30"/>
      <x:c r="O70" s="70" t="b">
        <x:v>0</x:v>
      </x:c>
      <x:c r="P70" s="30" t="str">
        <x:v>FINAL_APPROVED</x:v>
      </x:c>
    </x:row>
    <x:row r="71">
      <x:c r="A71" s="30" t="str">
        <x:v>STD-688726-066</x:v>
      </x:c>
      <x:c r="B71" s="30" t="str">
        <x:v>STANDARD</x:v>
      </x:c>
      <x:c r="C71" s="30" t="str">
        <x:v>STD-688726-066</x:v>
      </x:c>
      <x:c r="D71" s="30" t="str">
        <x:v>钟保善</x:v>
      </x:c>
      <x:c r="E71" s="30" t="str">
        <x:v>钟保善</x:v>
      </x:c>
      <x:c r="F71" s="30" t="str">
        <x:v>RECOVERED_ACCEPTED_NAME</x:v>
      </x:c>
      <x:c r="G71" s="30" t="str">
        <x:v>NATURAL_PERSON</x:v>
      </x:c>
      <x:c r="H71" s="30" t="str">
        <x:v>NATURAL_PERSON</x:v>
      </x:c>
      <x:c r="I71" s="30" t="str">
        <x:v>CONFIRMED</x:v>
      </x:c>
      <x:c r="J71" s="30" t="str">
        <x:v>PEVC_EXCLUDED</x:v>
      </x:c>
      <x:c r="K71" s="30" t="str">
        <x:v>PEVC_EXCLUDED</x:v>
      </x:c>
      <x:c r="L71" s="30" t="str">
        <x:v>自然人，不计入PE/VC法律主体。</x:v>
      </x:c>
      <x:c r="M71" s="30" t="str">
        <x:v>STD-688726-066</x:v>
      </x:c>
      <x:c r="N71" s="30"/>
      <x:c r="O71" s="70" t="b">
        <x:v>0</x:v>
      </x:c>
      <x:c r="P71" s="30" t="str">
        <x:v>FINAL_APPROVED</x:v>
      </x:c>
    </x:row>
    <x:row r="72">
      <x:c r="A72" s="30" t="str">
        <x:v>STD-688726-067</x:v>
      </x:c>
      <x:c r="B72" s="30" t="str">
        <x:v>STANDARD</x:v>
      </x:c>
      <x:c r="C72" s="30" t="str">
        <x:v>STD-688726-067</x:v>
      </x:c>
      <x:c r="D72" s="30" t="str">
        <x:v>陈婉升</x:v>
      </x:c>
      <x:c r="E72" s="30" t="str">
        <x:v>陈婉升</x:v>
      </x:c>
      <x:c r="F72" s="30" t="str">
        <x:v>RECOVERED_ACCEPTED_NAME</x:v>
      </x:c>
      <x:c r="G72" s="30" t="str">
        <x:v>NATURAL_PERSON</x:v>
      </x:c>
      <x:c r="H72" s="30" t="str">
        <x:v>NATURAL_PERSON</x:v>
      </x:c>
      <x:c r="I72" s="30" t="str">
        <x:v>CONFIRMED</x:v>
      </x:c>
      <x:c r="J72" s="30" t="str">
        <x:v>PEVC_EXCLUDED</x:v>
      </x:c>
      <x:c r="K72" s="30" t="str">
        <x:v>PEVC_EXCLUDED</x:v>
      </x:c>
      <x:c r="L72" s="30" t="str">
        <x:v>自然人，不计入PE/VC法律主体。</x:v>
      </x:c>
      <x:c r="M72" s="30" t="str">
        <x:v>STD-688726-067</x:v>
      </x:c>
      <x:c r="N72" s="30"/>
      <x:c r="O72" s="70" t="b">
        <x:v>0</x:v>
      </x:c>
      <x:c r="P72" s="30" t="str">
        <x:v>FINAL_APPROVED</x:v>
      </x:c>
    </x:row>
    <x:row r="73">
      <x:c r="A73" s="30" t="str">
        <x:v>STD-688726-068</x:v>
      </x:c>
      <x:c r="B73" s="30" t="str">
        <x:v>STANDARD</x:v>
      </x:c>
      <x:c r="C73" s="30" t="str">
        <x:v>STD-688726-068</x:v>
      </x:c>
      <x:c r="D73" s="30" t="str">
        <x:v>陈方明</x:v>
      </x:c>
      <x:c r="E73" s="30" t="str">
        <x:v>陈方明</x:v>
      </x:c>
      <x:c r="F73" s="30" t="str">
        <x:v>RECOVERED_ACCEPTED_NAME</x:v>
      </x:c>
      <x:c r="G73" s="30" t="str">
        <x:v>NATURAL_PERSON</x:v>
      </x:c>
      <x:c r="H73" s="30" t="str">
        <x:v>NATURAL_PERSON</x:v>
      </x:c>
      <x:c r="I73" s="30" t="str">
        <x:v>CONFIRMED</x:v>
      </x:c>
      <x:c r="J73" s="30" t="str">
        <x:v>PEVC_EXCLUDED</x:v>
      </x:c>
      <x:c r="K73" s="30" t="str">
        <x:v>PEVC_EXCLUDED</x:v>
      </x:c>
      <x:c r="L73" s="30" t="str">
        <x:v>自然人，不计入PE/VC法律主体。</x:v>
      </x:c>
      <x:c r="M73" s="30" t="str">
        <x:v>STD-688726-068</x:v>
      </x:c>
      <x:c r="N73" s="30"/>
      <x:c r="O73" s="70" t="b">
        <x:v>0</x:v>
      </x:c>
      <x:c r="P73" s="30" t="str">
        <x:v>FINAL_APPROVED</x:v>
      </x:c>
    </x:row>
    <x:row r="74">
      <x:c r="A74" s="30" t="str">
        <x:v>STD-688726-069</x:v>
      </x:c>
      <x:c r="B74" s="30" t="str">
        <x:v>STANDARD</x:v>
      </x:c>
      <x:c r="C74" s="30" t="str">
        <x:v>STD-688726-069</x:v>
      </x:c>
      <x:c r="D74" s="30" t="str">
        <x:v>陈耀民</x:v>
      </x:c>
      <x:c r="E74" s="30" t="str">
        <x:v>陈耀民</x:v>
      </x:c>
      <x:c r="F74" s="30" t="str">
        <x:v>RECOVERED_ACCEPTED_NAME</x:v>
      </x:c>
      <x:c r="G74" s="30" t="str">
        <x:v>NATURAL_PERSON</x:v>
      </x:c>
      <x:c r="H74" s="30" t="str">
        <x:v>NATURAL_PERSON</x:v>
      </x:c>
      <x:c r="I74" s="30" t="str">
        <x:v>CONFIRMED</x:v>
      </x:c>
      <x:c r="J74" s="30" t="str">
        <x:v>PEVC_EXCLUDED</x:v>
      </x:c>
      <x:c r="K74" s="30" t="str">
        <x:v>PEVC_EXCLUDED</x:v>
      </x:c>
      <x:c r="L74" s="30" t="str">
        <x:v>自然人，不计入PE/VC法律主体。</x:v>
      </x:c>
      <x:c r="M74" s="30" t="str">
        <x:v>STD-688726-069</x:v>
      </x:c>
      <x:c r="N74" s="30"/>
      <x:c r="O74" s="70" t="b">
        <x:v>0</x:v>
      </x:c>
      <x:c r="P74" s="30" t="str">
        <x:v>FINAL_APPROVED</x:v>
      </x:c>
    </x:row>
    <x:row r="75">
      <x:c r="A75" s="30" t="str">
        <x:v>STD-688726-070</x:v>
      </x:c>
      <x:c r="B75" s="30" t="str">
        <x:v>STANDARD</x:v>
      </x:c>
      <x:c r="C75" s="30" t="str">
        <x:v>STD-688726-070</x:v>
      </x:c>
      <x:c r="D75" s="30" t="str">
        <x:v>青岛盛京</x:v>
      </x:c>
      <x:c r="E75" s="30" t="str">
        <x:v>青岛盛京协同联合投资合伙企业（有限合伙）</x:v>
      </x:c>
      <x:c r="F75" s="30" t="str">
        <x:v>RECOVERED_ACCEPTED_NAME</x:v>
      </x:c>
      <x:c r="G75" s="30" t="str">
        <x:v>FUND</x:v>
      </x:c>
      <x:c r="H75" s="30" t="str">
        <x:v>FUND</x:v>
      </x:c>
      <x:c r="I75" s="30" t="str">
        <x:v>CONFIRMED</x:v>
      </x:c>
      <x:c r="J75" s="30" t="str">
        <x:v>PEVC_CONFIRMED</x:v>
      </x:c>
      <x:c r="K75" s="30" t="str">
        <x:v>PEVC_CONFIRMED</x:v>
      </x:c>
      <x:c r="L75" s="30" t="str">
        <x:v>招股书私募基金备案表列示基金编号及管理人。</x:v>
      </x:c>
      <x:c r="M75" s="30" t="str">
        <x:v>STD-688726-070</x:v>
      </x:c>
      <x:c r="N75" s="30"/>
      <x:c r="O75" s="70" t="b">
        <x:v>0</x:v>
      </x:c>
      <x:c r="P75" s="30" t="str">
        <x:v>FINAL_APPROVED</x:v>
      </x:c>
    </x:row>
    <x:row r="76">
      <x:c r="A76" s="30" t="str">
        <x:v>STD-688726-071</x:v>
      </x:c>
      <x:c r="B76" s="30" t="str">
        <x:v>STANDARD</x:v>
      </x:c>
      <x:c r="C76" s="30" t="str">
        <x:v>STD-688726-071</x:v>
      </x:c>
      <x:c r="D76" s="30" t="str">
        <x:v>韩明祥</x:v>
      </x:c>
      <x:c r="E76" s="30" t="str">
        <x:v>韩明祥</x:v>
      </x:c>
      <x:c r="F76" s="30" t="str">
        <x:v>RECOVERED_ACCEPTED_NAME</x:v>
      </x:c>
      <x:c r="G76" s="30" t="str">
        <x:v>NATURAL_PERSON</x:v>
      </x:c>
      <x:c r="H76" s="30" t="str">
        <x:v>NATURAL_PERSON</x:v>
      </x:c>
      <x:c r="I76" s="30" t="str">
        <x:v>CONFIRMED</x:v>
      </x:c>
      <x:c r="J76" s="30" t="str">
        <x:v>PEVC_EXCLUDED</x:v>
      </x:c>
      <x:c r="K76" s="30" t="str">
        <x:v>PEVC_EXCLUDED</x:v>
      </x:c>
      <x:c r="L76" s="30" t="str">
        <x:v>自然人，不计入PE/VC法律主体。</x:v>
      </x:c>
      <x:c r="M76" s="30" t="str">
        <x:v>STD-688726-071</x:v>
      </x:c>
      <x:c r="N76" s="30"/>
      <x:c r="O76" s="70" t="b">
        <x:v>0</x:v>
      </x:c>
      <x:c r="P76" s="30" t="str">
        <x:v>FINAL_APPROVED</x:v>
      </x:c>
    </x:row>
    <x:row r="77">
      <x:c r="A77" s="30" t="str">
        <x:v>STD-688726-072</x:v>
      </x:c>
      <x:c r="B77" s="30" t="str">
        <x:v>STANDARD</x:v>
      </x:c>
      <x:c r="C77" s="30" t="str">
        <x:v>STD-688726-072</x:v>
      </x:c>
      <x:c r="D77" s="30" t="str">
        <x:v>韩铮</x:v>
      </x:c>
      <x:c r="E77" s="30" t="str">
        <x:v>韩铮</x:v>
      </x:c>
      <x:c r="F77" s="30" t="str">
        <x:v>RECOVERED_ACCEPTED_NAME</x:v>
      </x:c>
      <x:c r="G77" s="30" t="str">
        <x:v>NATURAL_PERSON</x:v>
      </x:c>
      <x:c r="H77" s="30" t="str">
        <x:v>NATURAL_PERSON</x:v>
      </x:c>
      <x:c r="I77" s="30" t="str">
        <x:v>CONFIRMED</x:v>
      </x:c>
      <x:c r="J77" s="30" t="str">
        <x:v>PEVC_EXCLUDED</x:v>
      </x:c>
      <x:c r="K77" s="30" t="str">
        <x:v>PEVC_EXCLUDED</x:v>
      </x:c>
      <x:c r="L77" s="30" t="str">
        <x:v>自然人，不计入PE/VC法律主体。</x:v>
      </x:c>
      <x:c r="M77" s="30" t="str">
        <x:v>STD-688726-072</x:v>
      </x:c>
      <x:c r="N77" s="30"/>
      <x:c r="O77" s="70" t="b">
        <x:v>0</x:v>
      </x:c>
      <x:c r="P77" s="30" t="str">
        <x:v>FINAL_APPROVED</x:v>
      </x:c>
    </x:row>
    <x:row r="78">
      <x:c r="A78" s="30" t="str">
        <x:v>STD-688726-073</x:v>
      </x:c>
      <x:c r="B78" s="30" t="str">
        <x:v>STANDARD</x:v>
      </x:c>
      <x:c r="C78" s="30" t="str">
        <x:v>STD-688726-073</x:v>
      </x:c>
      <x:c r="D78" s="30" t="str">
        <x:v>领汇基石</x:v>
      </x:c>
      <x:c r="E78" s="30" t="str">
        <x:v>深圳市领汇基石股权投资基金合伙企业（有限合伙）</x:v>
      </x:c>
      <x:c r="F78" s="30" t="str">
        <x:v>RECOVERED_ACCEPTED_NAME</x:v>
      </x:c>
      <x:c r="G78" s="30" t="str">
        <x:v>FUND</x:v>
      </x:c>
      <x:c r="H78" s="30" t="str">
        <x:v>FUND</x:v>
      </x:c>
      <x:c r="I78" s="30" t="str">
        <x:v>CONFIRMED</x:v>
      </x:c>
      <x:c r="J78" s="30" t="str">
        <x:v>PEVC_CONFIRMED</x:v>
      </x:c>
      <x:c r="K78" s="30" t="str">
        <x:v>PEVC_CONFIRMED</x:v>
      </x:c>
      <x:c r="L78" s="30" t="str">
        <x:v>招股书私募基金备案表列示基金编号及管理人。</x:v>
      </x:c>
      <x:c r="M78" s="30" t="str">
        <x:v>STD-688726-073</x:v>
      </x:c>
      <x:c r="N78" s="30"/>
      <x:c r="O78" s="70" t="b">
        <x:v>0</x:v>
      </x:c>
      <x:c r="P78" s="30" t="str">
        <x:v>FINAL_APPROVED</x:v>
      </x:c>
    </x:row>
    <x:row r="79">
      <x:c r="A79" s="30" t="str">
        <x:v>STD-688726-074</x:v>
      </x:c>
      <x:c r="B79" s="30" t="str">
        <x:v>STANDARD</x:v>
      </x:c>
      <x:c r="C79" s="30" t="str">
        <x:v>STD-688726-074</x:v>
      </x:c>
      <x:c r="D79" s="30" t="str">
        <x:v>高新投创投</x:v>
      </x:c>
      <x:c r="E79" s="30" t="str">
        <x:v>深圳市高新投创业投资有限公司</x:v>
      </x:c>
      <x:c r="F79" s="30" t="str">
        <x:v>RECOVERED_ACCEPTED_NAME</x:v>
      </x:c>
      <x:c r="G79" s="30" t="str">
        <x:v>COMPANY</x:v>
      </x:c>
      <x:c r="H79" s="30" t="str">
        <x:v>COMPANY</x:v>
      </x:c>
      <x:c r="I79" s="30" t="str">
        <x:v>CONFIRMED</x:v>
      </x:c>
      <x:c r="J79" s="30" t="str">
        <x:v>PEVC_CANDIDATE</x:v>
      </x:c>
      <x:c r="K79" s="30" t="str">
        <x:v>PEVC_CANDIDATE</x:v>
      </x:c>
      <x:c r="L79" s="30" t="str">
        <x:v>具有投资机构名称或经营属性，但未进入本次招股书29名备案私募基金清单，保守列候选。</x:v>
      </x:c>
      <x:c r="M79" s="30" t="str">
        <x:v>STD-688726-074</x:v>
      </x:c>
      <x:c r="N79" s="30"/>
      <x:c r="O79" s="70" t="b">
        <x:v>1</x:v>
      </x:c>
      <x:c r="P79" s="30" t="str">
        <x:v>ACCEPTED_LIMITATION</x:v>
      </x:c>
    </x:row>
    <x:row r="80">
      <x:c r="A80" s="30" t="str">
        <x:v>STD-688726-075</x:v>
      </x:c>
      <x:c r="B80" s="30" t="str">
        <x:v>STANDARD</x:v>
      </x:c>
      <x:c r="C80" s="30" t="str">
        <x:v>STD-688726-075</x:v>
      </x:c>
      <x:c r="D80" s="30" t="str">
        <x:v>黄埔数字</x:v>
      </x:c>
      <x:c r="E80" s="30" t="str">
        <x:v>广州黄埔数字经济产业投资基金合伙企业（有限合伙）</x:v>
      </x:c>
      <x:c r="F80" s="30" t="str">
        <x:v>RECOVERED_ACCEPTED_NAME</x:v>
      </x:c>
      <x:c r="G80" s="30" t="str">
        <x:v>FUND</x:v>
      </x:c>
      <x:c r="H80" s="30" t="str">
        <x:v>FUND</x:v>
      </x:c>
      <x:c r="I80" s="30" t="str">
        <x:v>CONFIRMED</x:v>
      </x:c>
      <x:c r="J80" s="30" t="str">
        <x:v>PEVC_CONFIRMED</x:v>
      </x:c>
      <x:c r="K80" s="30" t="str">
        <x:v>PEVC_CONFIRMED</x:v>
      </x:c>
      <x:c r="L80" s="30" t="str">
        <x:v>招股书私募基金备案表列示基金编号及管理人。</x:v>
      </x:c>
      <x:c r="M80" s="30" t="str">
        <x:v>STD-688726-075</x:v>
      </x:c>
      <x:c r="N80" s="30"/>
      <x:c r="O80" s="70" t="b">
        <x:v>0</x:v>
      </x:c>
      <x:c r="P80" s="30" t="str">
        <x:v>FINAL_APPROVED</x:v>
      </x:c>
    </x:row>
    <x:row r="81">
      <x:c r="A81" s="30" t="str">
        <x:v>STD-688726-076</x:v>
      </x:c>
      <x:c r="B81" s="30" t="str">
        <x:v>STANDARD</x:v>
      </x:c>
      <x:c r="C81" s="30" t="str">
        <x:v>STD-688726-076</x:v>
      </x:c>
      <x:c r="D81" s="30" t="str">
        <x:v>黄埔永平</x:v>
      </x:c>
      <x:c r="E81" s="30" t="str">
        <x:v>广州黄埔永平科创股权投资合伙企业（有限合伙）</x:v>
      </x:c>
      <x:c r="F81" s="30" t="str">
        <x:v>RECOVERED_ACCEPTED_NAME</x:v>
      </x:c>
      <x:c r="G81" s="30" t="str">
        <x:v>FUND</x:v>
      </x:c>
      <x:c r="H81" s="30" t="str">
        <x:v>FUND</x:v>
      </x:c>
      <x:c r="I81" s="30" t="str">
        <x:v>CONFIRMED</x:v>
      </x:c>
      <x:c r="J81" s="30" t="str">
        <x:v>PEVC_CONFIRMED</x:v>
      </x:c>
      <x:c r="K81" s="30" t="str">
        <x:v>PEVC_CONFIRMED</x:v>
      </x:c>
      <x:c r="L81" s="30" t="str">
        <x:v>招股书私募基金备案表列示基金编号及管理人。</x:v>
      </x:c>
      <x:c r="M81" s="30" t="str">
        <x:v>STD-688726-076</x:v>
      </x:c>
      <x:c r="N81" s="30"/>
      <x:c r="O81" s="70" t="b">
        <x:v>0</x:v>
      </x:c>
      <x:c r="P81" s="30" t="str">
        <x:v>FINAL_APPROVED</x:v>
      </x:c>
    </x:row>
    <x:row r="82">
      <x:c r="A82" s="31" t="str">
        <x:v>STD-688726-077</x:v>
      </x:c>
      <x:c r="B82" s="31" t="str">
        <x:v>STANDARD</x:v>
      </x:c>
      <x:c r="C82" s="31" t="str">
        <x:v>STD-688726-077</x:v>
      </x:c>
      <x:c r="D82" s="31" t="str">
        <x:v>齐麟</x:v>
      </x:c>
      <x:c r="E82" s="31" t="str">
        <x:v>齐麟</x:v>
      </x:c>
      <x:c r="F82" s="31" t="str">
        <x:v>RECOVERED_ACCEPTED_NAME</x:v>
      </x:c>
      <x:c r="G82" s="31" t="str">
        <x:v>NATURAL_PERSON</x:v>
      </x:c>
      <x:c r="H82" s="31" t="str">
        <x:v>NATURAL_PERSON</x:v>
      </x:c>
      <x:c r="I82" s="31" t="str">
        <x:v>CONFIRMED</x:v>
      </x:c>
      <x:c r="J82" s="31" t="str">
        <x:v>PEVC_EXCLUDED</x:v>
      </x:c>
      <x:c r="K82" s="31" t="str">
        <x:v>PEVC_EXCLUDED</x:v>
      </x:c>
      <x:c r="L82" s="31" t="str">
        <x:v>自然人，不计入PE/VC法律主体。</x:v>
      </x:c>
      <x:c r="M82" s="31" t="str">
        <x:v>STD-688726-077</x:v>
      </x:c>
      <x:c r="N82" s="31"/>
      <x:c r="O82" s="71" t="b">
        <x:v>0</x:v>
      </x:c>
      <x:c r="P82" s="31" t="str">
        <x:v>FINAL_APPROVED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0" customHeight="1">
      <x:c r="A1" s="3" t="str">
        <x:v>transaction_parties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</x:row>
    <x:row r="4" ht="30" customHeight="1">
      <x:c r="A4" s="19" t="str">
        <x:v>transaction_id</x:v>
      </x:c>
      <x:c r="B4" s="20" t="str">
        <x:v>transaction_party_id</x:v>
      </x:c>
      <x:c r="C4" s="20" t="str">
        <x:v>entity_id</x:v>
      </x:c>
      <x:c r="D4" s="20" t="str">
        <x:v>entity_role_source</x:v>
      </x:c>
      <x:c r="E4" s="20" t="str">
        <x:v>entity_role_standardized</x:v>
      </x:c>
      <x:c r="F4" s="20" t="str">
        <x:v>amount_attributed_10k_cny</x:v>
      </x:c>
      <x:c r="G4" s="20" t="str">
        <x:v>amount_attributed_status</x:v>
      </x:c>
      <x:c r="H4" s="20" t="str">
        <x:v>ownership_acquired</x:v>
      </x:c>
      <x:c r="I4" s="20" t="str">
        <x:v>ownership_acquired_status</x:v>
      </x:c>
      <x:c r="J4" s="20" t="str">
        <x:v>relation_source_type</x:v>
      </x:c>
      <x:c r="K4" s="20" t="str">
        <x:v>evidence_id</x:v>
      </x:c>
      <x:c r="L4" s="21" t="str">
        <x:v>review_status</x:v>
      </x:c>
    </x:row>
    <x:row r="5">
      <x:c r="A5" s="29" t="str">
        <x:v>TRX-688726-0001</x:v>
      </x:c>
      <x:c r="B5" s="29" t="str">
        <x:v>TP-688726-0001</x:v>
      </x:c>
      <x:c r="C5" s="29" t="str">
        <x:v>STD-688726-067</x:v>
      </x:c>
      <x:c r="D5" s="29" t="str">
        <x:v>FOUNDER</x:v>
      </x:c>
      <x:c r="E5" s="29" t="str">
        <x:v>FOUNDER</x:v>
      </x:c>
      <x:c r="F5" s="72"/>
      <x:c r="G5" s="72" t="str">
        <x:v>NOT_APPLICABLE</x:v>
      </x:c>
      <x:c r="H5" s="75" t="n">
        <x:v>0.4</x:v>
      </x:c>
      <x:c r="I5" s="75" t="str">
        <x:v>DISCLOSED_COMPLETE</x:v>
      </x:c>
      <x:c r="J5" s="29" t="str">
        <x:v>DISCLOSED</x:v>
      </x:c>
      <x:c r="K5" s="29" t="str">
        <x:v>EVD-688726-0000</x:v>
      </x:c>
      <x:c r="L5" s="29" t="str">
        <x:v>FINAL_APPROVED</x:v>
      </x:c>
    </x:row>
    <x:row r="6">
      <x:c r="A6" s="30" t="str">
        <x:v>TRX-688726-0001</x:v>
      </x:c>
      <x:c r="B6" s="30" t="str">
        <x:v>TP-688726-0002</x:v>
      </x:c>
      <x:c r="C6" s="30" t="str">
        <x:v>STD-688726-002</x:v>
      </x:c>
      <x:c r="D6" s="30" t="str">
        <x:v>FOUNDER</x:v>
      </x:c>
      <x:c r="E6" s="30" t="str">
        <x:v>FOUNDER</x:v>
      </x:c>
      <x:c r="F6" s="73"/>
      <x:c r="G6" s="73" t="str">
        <x:v>NOT_APPLICABLE</x:v>
      </x:c>
      <x:c r="H6" s="76" t="n">
        <x:v>0.4</x:v>
      </x:c>
      <x:c r="I6" s="76" t="str">
        <x:v>DISCLOSED_COMPLETE</x:v>
      </x:c>
      <x:c r="J6" s="30" t="str">
        <x:v>DISCLOSED</x:v>
      </x:c>
      <x:c r="K6" s="30" t="str">
        <x:v>EVD-688726-0000</x:v>
      </x:c>
      <x:c r="L6" s="30" t="str">
        <x:v>FINAL_APPROVED</x:v>
      </x:c>
    </x:row>
    <x:row r="7">
      <x:c r="A7" s="30" t="str">
        <x:v>TRX-688726-0001</x:v>
      </x:c>
      <x:c r="B7" s="30" t="str">
        <x:v>TP-688726-0003</x:v>
      </x:c>
      <x:c r="C7" s="30" t="str">
        <x:v>STD-688726-009</x:v>
      </x:c>
      <x:c r="D7" s="30" t="str">
        <x:v>FOUNDER</x:v>
      </x:c>
      <x:c r="E7" s="30" t="str">
        <x:v>FOUNDER</x:v>
      </x:c>
      <x:c r="F7" s="73"/>
      <x:c r="G7" s="73" t="str">
        <x:v>NOT_APPLICABLE</x:v>
      </x:c>
      <x:c r="H7" s="76" t="n">
        <x:v>0.2</x:v>
      </x:c>
      <x:c r="I7" s="76" t="str">
        <x:v>DISCLOSED_COMPLETE</x:v>
      </x:c>
      <x:c r="J7" s="30" t="str">
        <x:v>DISCLOSED</x:v>
      </x:c>
      <x:c r="K7" s="30" t="str">
        <x:v>EVD-688726-0000</x:v>
      </x:c>
      <x:c r="L7" s="30" t="str">
        <x:v>FINAL_APPROVED</x:v>
      </x:c>
    </x:row>
    <x:row r="8">
      <x:c r="A8" s="30" t="str">
        <x:v>TRX-688726-0002</x:v>
      </x:c>
      <x:c r="B8" s="30" t="str">
        <x:v>TP-688726-0004</x:v>
      </x:c>
      <x:c r="C8" s="30" t="str">
        <x:v>STD-688726-065</x:v>
      </x:c>
      <x:c r="D8" s="30" t="str">
        <x:v>INVESTOR</x:v>
      </x:c>
      <x:c r="E8" s="30" t="str">
        <x:v>INVESTOR</x:v>
      </x:c>
      <x:c r="F8" s="73" t="n">
        <x:v>5000</x:v>
      </x:c>
      <x:c r="G8" s="73" t="str">
        <x:v>DISCLOSED_COMPLETE</x:v>
      </x:c>
      <x:c r="H8" s="76" t="n">
        <x:v>0.34999999385295</x:v>
      </x:c>
      <x:c r="I8" s="76" t="str">
        <x:v>DISCLOSED_COMPLETE</x:v>
      </x:c>
      <x:c r="J8" s="30" t="str">
        <x:v>DISCLOSED</x:v>
      </x:c>
      <x:c r="K8" s="30" t="str">
        <x:v>EVD-688726-0001</x:v>
      </x:c>
      <x:c r="L8" s="30" t="str">
        <x:v>FINAL_APPROVED</x:v>
      </x:c>
    </x:row>
    <x:row r="9">
      <x:c r="A9" s="30" t="str">
        <x:v>TRX-688726-0003</x:v>
      </x:c>
      <x:c r="B9" s="30" t="str">
        <x:v>TP-688726-0005</x:v>
      </x:c>
      <x:c r="C9" s="30" t="str">
        <x:v>STD-688726-068</x:v>
      </x:c>
      <x:c r="D9" s="30" t="str">
        <x:v>TRANSFEROR</x:v>
      </x:c>
      <x:c r="E9" s="30" t="str">
        <x:v>TRANSFEROR</x:v>
      </x:c>
      <x:c r="F9" s="73"/>
      <x:c r="G9" s="73" t="str">
        <x:v>NOT_APPLICABLE</x:v>
      </x:c>
      <x:c r="H9" s="76"/>
      <x:c r="I9" s="76" t="str">
        <x:v>NOT_APPLICABLE</x:v>
      </x:c>
      <x:c r="J9" s="30" t="str">
        <x:v>DISCLOSED</x:v>
      </x:c>
      <x:c r="K9" s="30" t="str">
        <x:v>EVD-688726-0002</x:v>
      </x:c>
      <x:c r="L9" s="30" t="str">
        <x:v>FINAL_APPROVED</x:v>
      </x:c>
    </x:row>
    <x:row r="10">
      <x:c r="A10" s="30" t="str">
        <x:v>TRX-688726-0003</x:v>
      </x:c>
      <x:c r="B10" s="30" t="str">
        <x:v>TP-688726-0006</x:v>
      </x:c>
      <x:c r="C10" s="30" t="str">
        <x:v>STD-688726-019</x:v>
      </x:c>
      <x:c r="D10" s="30" t="str">
        <x:v>TRANSFEREE</x:v>
      </x:c>
      <x:c r="E10" s="30" t="str">
        <x:v>TRANSFEREE</x:v>
      </x:c>
      <x:c r="F10" s="73" t="n">
        <x:v>500</x:v>
      </x:c>
      <x:c r="G10" s="73" t="str">
        <x:v>DISCLOSED_COMPLETE</x:v>
      </x:c>
      <x:c r="H10" s="76" t="n">
        <x:v>0.0162</x:v>
      </x:c>
      <x:c r="I10" s="76" t="str">
        <x:v>DISCLOSED_COMPLETE</x:v>
      </x:c>
      <x:c r="J10" s="30" t="str">
        <x:v>DISCLOSED</x:v>
      </x:c>
      <x:c r="K10" s="30" t="str">
        <x:v>EVD-688726-0002</x:v>
      </x:c>
      <x:c r="L10" s="30" t="str">
        <x:v>FINAL_APPROVED</x:v>
      </x:c>
    </x:row>
    <x:row r="11">
      <x:c r="A11" s="30" t="str">
        <x:v>TRX-688726-0004</x:v>
      </x:c>
      <x:c r="B11" s="30" t="str">
        <x:v>TP-688726-0007</x:v>
      </x:c>
      <x:c r="C11" s="30" t="str">
        <x:v>STD-688726-021</x:v>
      </x:c>
      <x:c r="D11" s="30" t="str">
        <x:v>INVESTOR</x:v>
      </x:c>
      <x:c r="E11" s="30" t="str">
        <x:v>INVESTOR</x:v>
      </x:c>
      <x:c r="F11" s="73" t="n">
        <x:v>150</x:v>
      </x:c>
      <x:c r="G11" s="73" t="str">
        <x:v>DISCLOSED_COMPLETE</x:v>
      </x:c>
      <x:c r="H11" s="76" t="n">
        <x:v>0.004918041707621796</x:v>
      </x:c>
      <x:c r="I11" s="76" t="str">
        <x:v>DISCLOSED_COMPLETE</x:v>
      </x:c>
      <x:c r="J11" s="30" t="str">
        <x:v>DISCLOSED</x:v>
      </x:c>
      <x:c r="K11" s="30" t="str">
        <x:v>EVD-688726-0003</x:v>
      </x:c>
      <x:c r="L11" s="30" t="str">
        <x:v>FINAL_APPROVED</x:v>
      </x:c>
    </x:row>
    <x:row r="12">
      <x:c r="A12" s="30" t="str">
        <x:v>TRX-688726-0004</x:v>
      </x:c>
      <x:c r="B12" s="30" t="str">
        <x:v>TP-688726-0008</x:v>
      </x:c>
      <x:c r="C12" s="30" t="str">
        <x:v>STD-688726-029</x:v>
      </x:c>
      <x:c r="D12" s="30" t="str">
        <x:v>INVESTOR</x:v>
      </x:c>
      <x:c r="E12" s="30" t="str">
        <x:v>INVESTOR</x:v>
      </x:c>
      <x:c r="F12" s="73" t="n">
        <x:v>135</x:v>
      </x:c>
      <x:c r="G12" s="73" t="str">
        <x:v>DISCLOSED_COMPLETE</x:v>
      </x:c>
      <x:c r="H12" s="76" t="n">
        <x:v>0.004426277845372916</x:v>
      </x:c>
      <x:c r="I12" s="76" t="str">
        <x:v>DISCLOSED_COMPLETE</x:v>
      </x:c>
      <x:c r="J12" s="30" t="str">
        <x:v>DISCLOSED</x:v>
      </x:c>
      <x:c r="K12" s="30" t="str">
        <x:v>EVD-688726-0003</x:v>
      </x:c>
      <x:c r="L12" s="30" t="str">
        <x:v>FINAL_APPROVED</x:v>
      </x:c>
    </x:row>
    <x:row r="13">
      <x:c r="A13" s="30" t="str">
        <x:v>TRX-688726-0004</x:v>
      </x:c>
      <x:c r="B13" s="30" t="str">
        <x:v>TP-688726-0009</x:v>
      </x:c>
      <x:c r="C13" s="30" t="str">
        <x:v>STD-688726-041</x:v>
      </x:c>
      <x:c r="D13" s="30" t="str">
        <x:v>INVESTOR</x:v>
      </x:c>
      <x:c r="E13" s="30" t="str">
        <x:v>INVESTOR</x:v>
      </x:c>
      <x:c r="F13" s="73" t="n">
        <x:v>135</x:v>
      </x:c>
      <x:c r="G13" s="73" t="str">
        <x:v>DISCLOSED_COMPLETE</x:v>
      </x:c>
      <x:c r="H13" s="76" t="n">
        <x:v>0.004426277845372916</x:v>
      </x:c>
      <x:c r="I13" s="76" t="str">
        <x:v>DISCLOSED_COMPLETE</x:v>
      </x:c>
      <x:c r="J13" s="30" t="str">
        <x:v>DISCLOSED</x:v>
      </x:c>
      <x:c r="K13" s="30" t="str">
        <x:v>EVD-688726-0003</x:v>
      </x:c>
      <x:c r="L13" s="30" t="str">
        <x:v>FINAL_APPROVED</x:v>
      </x:c>
    </x:row>
    <x:row r="14">
      <x:c r="A14" s="30" t="str">
        <x:v>TRX-688726-0004</x:v>
      </x:c>
      <x:c r="B14" s="30" t="str">
        <x:v>TP-688726-0010</x:v>
      </x:c>
      <x:c r="C14" s="30" t="str">
        <x:v>STD-688726-066</x:v>
      </x:c>
      <x:c r="D14" s="30" t="str">
        <x:v>INVESTOR</x:v>
      </x:c>
      <x:c r="E14" s="30" t="str">
        <x:v>INVESTOR</x:v>
      </x:c>
      <x:c r="F14" s="73" t="n">
        <x:v>105</x:v>
      </x:c>
      <x:c r="G14" s="73" t="str">
        <x:v>DISCLOSED_COMPLETE</x:v>
      </x:c>
      <x:c r="H14" s="76" t="n">
        <x:v>0.003442649349591907</x:v>
      </x:c>
      <x:c r="I14" s="76" t="str">
        <x:v>DISCLOSED_COMPLETE</x:v>
      </x:c>
      <x:c r="J14" s="30" t="str">
        <x:v>DISCLOSED</x:v>
      </x:c>
      <x:c r="K14" s="30" t="str">
        <x:v>EVD-688726-0003</x:v>
      </x:c>
      <x:c r="L14" s="30" t="str">
        <x:v>FINAL_APPROVED</x:v>
      </x:c>
    </x:row>
    <x:row r="15">
      <x:c r="A15" s="30" t="str">
        <x:v>TRX-688726-0004</x:v>
      </x:c>
      <x:c r="B15" s="30" t="str">
        <x:v>TP-688726-0011</x:v>
      </x:c>
      <x:c r="C15" s="30" t="str">
        <x:v>STD-688726-063</x:v>
      </x:c>
      <x:c r="D15" s="30" t="str">
        <x:v>INVESTOR</x:v>
      </x:c>
      <x:c r="E15" s="30" t="str">
        <x:v>INVESTOR</x:v>
      </x:c>
      <x:c r="F15" s="73" t="n">
        <x:v>240</x:v>
      </x:c>
      <x:c r="G15" s="73" t="str">
        <x:v>DISCLOSED_COMPLETE</x:v>
      </x:c>
      <x:c r="H15" s="76" t="n">
        <x:v>0.007868826423681575</x:v>
      </x:c>
      <x:c r="I15" s="76" t="str">
        <x:v>DISCLOSED_COMPLETE</x:v>
      </x:c>
      <x:c r="J15" s="30" t="str">
        <x:v>DISCLOSED</x:v>
      </x:c>
      <x:c r="K15" s="30" t="str">
        <x:v>EVD-688726-0003</x:v>
      </x:c>
      <x:c r="L15" s="30" t="str">
        <x:v>FINAL_APPROVED</x:v>
      </x:c>
    </x:row>
    <x:row r="16">
      <x:c r="A16" s="30" t="str">
        <x:v>TRX-688726-0004</x:v>
      </x:c>
      <x:c r="B16" s="30" t="str">
        <x:v>TP-688726-0012</x:v>
      </x:c>
      <x:c r="C16" s="30" t="str">
        <x:v>STD-688726-064</x:v>
      </x:c>
      <x:c r="D16" s="30" t="str">
        <x:v>INVESTOR</x:v>
      </x:c>
      <x:c r="E16" s="30" t="str">
        <x:v>INVESTOR</x:v>
      </x:c>
      <x:c r="F16" s="73" t="n">
        <x:v>180</x:v>
      </x:c>
      <x:c r="G16" s="73" t="str">
        <x:v>DISCLOSED_COMPLETE</x:v>
      </x:c>
      <x:c r="H16" s="76" t="n">
        <x:v>0.0059016702034028045</x:v>
      </x:c>
      <x:c r="I16" s="76" t="str">
        <x:v>DISCLOSED_COMPLETE</x:v>
      </x:c>
      <x:c r="J16" s="30" t="str">
        <x:v>DISCLOSED</x:v>
      </x:c>
      <x:c r="K16" s="30" t="str">
        <x:v>EVD-688726-0003</x:v>
      </x:c>
      <x:c r="L16" s="30" t="str">
        <x:v>FINAL_APPROVED</x:v>
      </x:c>
    </x:row>
    <x:row r="17">
      <x:c r="A17" s="30" t="str">
        <x:v>TRX-688726-0004</x:v>
      </x:c>
      <x:c r="B17" s="30" t="str">
        <x:v>TP-688726-0013</x:v>
      </x:c>
      <x:c r="C17" s="30" t="str">
        <x:v>STD-688726-062</x:v>
      </x:c>
      <x:c r="D17" s="30" t="str">
        <x:v>INVESTOR</x:v>
      </x:c>
      <x:c r="E17" s="30" t="str">
        <x:v>INVESTOR</x:v>
      </x:c>
      <x:c r="F17" s="73" t="n">
        <x:v>105</x:v>
      </x:c>
      <x:c r="G17" s="73" t="str">
        <x:v>DISCLOSED_COMPLETE</x:v>
      </x:c>
      <x:c r="H17" s="76" t="n">
        <x:v>0.003442649349591907</x:v>
      </x:c>
      <x:c r="I17" s="76" t="str">
        <x:v>DISCLOSED_COMPLETE</x:v>
      </x:c>
      <x:c r="J17" s="30" t="str">
        <x:v>DISCLOSED</x:v>
      </x:c>
      <x:c r="K17" s="30" t="str">
        <x:v>EVD-688726-0003</x:v>
      </x:c>
      <x:c r="L17" s="30" t="str">
        <x:v>FINAL_APPROVED</x:v>
      </x:c>
    </x:row>
    <x:row r="18">
      <x:c r="A18" s="30" t="str">
        <x:v>TRX-688726-0004</x:v>
      </x:c>
      <x:c r="B18" s="30" t="str">
        <x:v>TP-688726-0014</x:v>
      </x:c>
      <x:c r="C18" s="30" t="str">
        <x:v>STD-688726-027</x:v>
      </x:c>
      <x:c r="D18" s="30" t="str">
        <x:v>INVESTOR</x:v>
      </x:c>
      <x:c r="E18" s="30" t="str">
        <x:v>INVESTOR</x:v>
      </x:c>
      <x:c r="F18" s="73" t="n">
        <x:v>105</x:v>
      </x:c>
      <x:c r="G18" s="73" t="str">
        <x:v>DISCLOSED_COMPLETE</x:v>
      </x:c>
      <x:c r="H18" s="76" t="n">
        <x:v>0.003442649349591907</x:v>
      </x:c>
      <x:c r="I18" s="76" t="str">
        <x:v>DISCLOSED_COMPLETE</x:v>
      </x:c>
      <x:c r="J18" s="30" t="str">
        <x:v>DISCLOSED</x:v>
      </x:c>
      <x:c r="K18" s="30" t="str">
        <x:v>EVD-688726-0003</x:v>
      </x:c>
      <x:c r="L18" s="30" t="str">
        <x:v>FINAL_APPROVED</x:v>
      </x:c>
    </x:row>
    <x:row r="19">
      <x:c r="A19" s="30" t="str">
        <x:v>TRX-688726-0004</x:v>
      </x:c>
      <x:c r="B19" s="30" t="str">
        <x:v>TP-688726-0015</x:v>
      </x:c>
      <x:c r="C19" s="30" t="str">
        <x:v>STD-688726-025</x:v>
      </x:c>
      <x:c r="D19" s="30" t="str">
        <x:v>INVESTOR</x:v>
      </x:c>
      <x:c r="E19" s="30" t="str">
        <x:v>INVESTOR</x:v>
      </x:c>
      <x:c r="F19" s="73" t="n">
        <x:v>60</x:v>
      </x:c>
      <x:c r="G19" s="73" t="str">
        <x:v>DISCLOSED_COMPLETE</x:v>
      </x:c>
      <x:c r="H19" s="76" t="n">
        <x:v>0.0019672569915620175</x:v>
      </x:c>
      <x:c r="I19" s="76" t="str">
        <x:v>DISCLOSED_COMPLETE</x:v>
      </x:c>
      <x:c r="J19" s="30" t="str">
        <x:v>DISCLOSED</x:v>
      </x:c>
      <x:c r="K19" s="30" t="str">
        <x:v>EVD-688726-0003</x:v>
      </x:c>
      <x:c r="L19" s="30" t="str">
        <x:v>FINAL_APPROVED</x:v>
      </x:c>
    </x:row>
    <x:row r="20">
      <x:c r="A20" s="30" t="str">
        <x:v>TRX-688726-0004</x:v>
      </x:c>
      <x:c r="B20" s="30" t="str">
        <x:v>TP-688726-0016</x:v>
      </x:c>
      <x:c r="C20" s="30" t="str">
        <x:v>STD-688726-031</x:v>
      </x:c>
      <x:c r="D20" s="30" t="str">
        <x:v>INVESTOR</x:v>
      </x:c>
      <x:c r="E20" s="30" t="str">
        <x:v>INVESTOR</x:v>
      </x:c>
      <x:c r="F20" s="73" t="n">
        <x:v>153</x:v>
      </x:c>
      <x:c r="G20" s="73" t="str">
        <x:v>DISCLOSED_COMPLETE</x:v>
      </x:c>
      <x:c r="H20" s="76" t="n">
        <x:v>0.0050163944800715714</x:v>
      </x:c>
      <x:c r="I20" s="76" t="str">
        <x:v>DISCLOSED_COMPLETE</x:v>
      </x:c>
      <x:c r="J20" s="30" t="str">
        <x:v>DISCLOSED</x:v>
      </x:c>
      <x:c r="K20" s="30" t="str">
        <x:v>EVD-688726-0003</x:v>
      </x:c>
      <x:c r="L20" s="30" t="str">
        <x:v>FINAL_APPROVED</x:v>
      </x:c>
    </x:row>
    <x:row r="21">
      <x:c r="A21" s="30" t="str">
        <x:v>TRX-688726-0004</x:v>
      </x:c>
      <x:c r="B21" s="30" t="str">
        <x:v>TP-688726-0017</x:v>
      </x:c>
      <x:c r="C21" s="30" t="str">
        <x:v>STD-688726-057</x:v>
      </x:c>
      <x:c r="D21" s="30" t="str">
        <x:v>INVESTOR</x:v>
      </x:c>
      <x:c r="E21" s="30" t="str">
        <x:v>INVESTOR</x:v>
      </x:c>
      <x:c r="F21" s="73" t="n">
        <x:v>1800</x:v>
      </x:c>
      <x:c r="G21" s="73" t="str">
        <x:v>DISCLOSED_COMPLETE</x:v>
      </x:c>
      <x:c r="H21" s="76" t="n">
        <x:v>0.0590163997201783</x:v>
      </x:c>
      <x:c r="I21" s="76" t="str">
        <x:v>DISCLOSED_COMPLETE</x:v>
      </x:c>
      <x:c r="J21" s="30" t="str">
        <x:v>DISCLOSED</x:v>
      </x:c>
      <x:c r="K21" s="30" t="str">
        <x:v>EVD-688726-0003</x:v>
      </x:c>
      <x:c r="L21" s="30" t="str">
        <x:v>FINAL_APPROVED</x:v>
      </x:c>
    </x:row>
    <x:row r="22">
      <x:c r="A22" s="30" t="str">
        <x:v>TRX-688726-0004</x:v>
      </x:c>
      <x:c r="B22" s="30" t="str">
        <x:v>TP-688726-0018</x:v>
      </x:c>
      <x:c r="C22" s="30" t="str">
        <x:v>STD-688726-018</x:v>
      </x:c>
      <x:c r="D22" s="30" t="str">
        <x:v>INVESTOR</x:v>
      </x:c>
      <x:c r="E22" s="30" t="str">
        <x:v>INVESTOR</x:v>
      </x:c>
      <x:c r="F22" s="73" t="n">
        <x:v>2000</x:v>
      </x:c>
      <x:c r="G22" s="73" t="str">
        <x:v>DISCLOSED_COMPLETE</x:v>
      </x:c>
      <x:c r="H22" s="76" t="n">
        <x:v>0.06557378866367403</x:v>
      </x:c>
      <x:c r="I22" s="76" t="str">
        <x:v>DISCLOSED_COMPLETE</x:v>
      </x:c>
      <x:c r="J22" s="30" t="str">
        <x:v>DISCLOSED</x:v>
      </x:c>
      <x:c r="K22" s="30" t="str">
        <x:v>EVD-688726-0003</x:v>
      </x:c>
      <x:c r="L22" s="30" t="str">
        <x:v>FINAL_APPROVED</x:v>
      </x:c>
    </x:row>
    <x:row r="23">
      <x:c r="A23" s="30" t="str">
        <x:v>TRX-688726-0004</x:v>
      </x:c>
      <x:c r="B23" s="30" t="str">
        <x:v>TP-688726-0019</x:v>
      </x:c>
      <x:c r="C23" s="30" t="str">
        <x:v>STD-688726-010</x:v>
      </x:c>
      <x:c r="D23" s="30" t="str">
        <x:v>INVESTOR</x:v>
      </x:c>
      <x:c r="E23" s="30" t="str">
        <x:v>INVESTOR</x:v>
      </x:c>
      <x:c r="F23" s="73" t="n">
        <x:v>332</x:v>
      </x:c>
      <x:c r="G23" s="73" t="str">
        <x:v>DISCLOSED_COMPLETE</x:v>
      </x:c>
      <x:c r="H23" s="76" t="n">
        <x:v>0.01088521324513562</x:v>
      </x:c>
      <x:c r="I23" s="76" t="str">
        <x:v>DISCLOSED_COMPLETE</x:v>
      </x:c>
      <x:c r="J23" s="30" t="str">
        <x:v>DISCLOSED</x:v>
      </x:c>
      <x:c r="K23" s="30" t="str">
        <x:v>EVD-688726-0003</x:v>
      </x:c>
      <x:c r="L23" s="30" t="str">
        <x:v>FINAL_APPROVED</x:v>
      </x:c>
    </x:row>
    <x:row r="24">
      <x:c r="A24" s="30" t="str">
        <x:v>TRX-688726-0005</x:v>
      </x:c>
      <x:c r="B24" s="30" t="str">
        <x:v>TP-688726-0020</x:v>
      </x:c>
      <x:c r="C24" s="30" t="str">
        <x:v>STD-688726-006</x:v>
      </x:c>
      <x:c r="D24" s="30" t="str">
        <x:v>INVESTOR</x:v>
      </x:c>
      <x:c r="E24" s="30" t="str">
        <x:v>INVESTOR</x:v>
      </x:c>
      <x:c r="F24" s="73" t="n">
        <x:v>677.9533</x:v>
      </x:c>
      <x:c r="G24" s="73" t="str">
        <x:v>DISCLOSED_COMPLETE</x:v>
      </x:c>
      <x:c r="H24" s="76" t="n">
        <x:v>0.05002961617599164</x:v>
      </x:c>
      <x:c r="I24" s="76" t="str">
        <x:v>DISCLOSED_COMPLETE</x:v>
      </x:c>
      <x:c r="J24" s="30" t="str">
        <x:v>DISCLOSED</x:v>
      </x:c>
      <x:c r="K24" s="30" t="str">
        <x:v>EVD-688726-0004</x:v>
      </x:c>
      <x:c r="L24" s="30" t="str">
        <x:v>FINAL_APPROVED</x:v>
      </x:c>
    </x:row>
    <x:row r="25">
      <x:c r="A25" s="30" t="str">
        <x:v>TRX-688726-0005</x:v>
      </x:c>
      <x:c r="B25" s="30" t="str">
        <x:v>TP-688726-0021</x:v>
      </x:c>
      <x:c r="C25" s="30" t="str">
        <x:v>STD-688726-055</x:v>
      </x:c>
      <x:c r="D25" s="30" t="str">
        <x:v>INVESTOR</x:v>
      </x:c>
      <x:c r="E25" s="30" t="str">
        <x:v>INVESTOR</x:v>
      </x:c>
      <x:c r="F25" s="73" t="n">
        <x:v>338.5753</x:v>
      </x:c>
      <x:c r="G25" s="73" t="str">
        <x:v>DISCLOSED_COMPLETE</x:v>
      </x:c>
      <x:c r="H25" s="76" t="n">
        <x:v>0.024985151099634874</x:v>
      </x:c>
      <x:c r="I25" s="76" t="str">
        <x:v>DISCLOSED_COMPLETE</x:v>
      </x:c>
      <x:c r="J25" s="30" t="str">
        <x:v>DISCLOSED</x:v>
      </x:c>
      <x:c r="K25" s="30" t="str">
        <x:v>EVD-688726-0004</x:v>
      </x:c>
      <x:c r="L25" s="30" t="str">
        <x:v>FINAL_APPROVED</x:v>
      </x:c>
    </x:row>
    <x:row r="26">
      <x:c r="A26" s="30" t="str">
        <x:v>TRX-688726-0005</x:v>
      </x:c>
      <x:c r="B26" s="30" t="str">
        <x:v>TP-688726-0022</x:v>
      </x:c>
      <x:c r="C26" s="30" t="str">
        <x:v>STD-688726-058</x:v>
      </x:c>
      <x:c r="D26" s="30" t="str">
        <x:v>INVESTOR</x:v>
      </x:c>
      <x:c r="E26" s="30" t="str">
        <x:v>INVESTOR</x:v>
      </x:c>
      <x:c r="F26" s="73" t="n">
        <x:v>338.576</x:v>
      </x:c>
      <x:c r="G26" s="73" t="str">
        <x:v>DISCLOSED_COMPLETE</x:v>
      </x:c>
      <x:c r="H26" s="76" t="n">
        <x:v>0.024985241793788884</x:v>
      </x:c>
      <x:c r="I26" s="76" t="str">
        <x:v>DISCLOSED_COMPLETE</x:v>
      </x:c>
      <x:c r="J26" s="30" t="str">
        <x:v>DISCLOSED</x:v>
      </x:c>
      <x:c r="K26" s="30" t="str">
        <x:v>EVD-688726-0004</x:v>
      </x:c>
      <x:c r="L26" s="30" t="str">
        <x:v>FINAL_APPROVED</x:v>
      </x:c>
    </x:row>
    <x:row r="27">
      <x:c r="A27" s="30" t="str">
        <x:v>TRX-688726-0006</x:v>
      </x:c>
      <x:c r="B27" s="30" t="str">
        <x:v>TP-688726-0023</x:v>
      </x:c>
      <x:c r="C27" s="30" t="str">
        <x:v>STD-688726-063</x:v>
      </x:c>
      <x:c r="D27" s="30" t="str">
        <x:v>TRANSFEROR</x:v>
      </x:c>
      <x:c r="E27" s="30" t="str">
        <x:v>TRANSFEROR</x:v>
      </x:c>
      <x:c r="F27" s="73"/>
      <x:c r="G27" s="73" t="str">
        <x:v>NOT_APPLICABLE</x:v>
      </x:c>
      <x:c r="H27" s="76"/>
      <x:c r="I27" s="76" t="str">
        <x:v>NOT_APPLICABLE</x:v>
      </x:c>
      <x:c r="J27" s="30" t="str">
        <x:v>DISCLOSED</x:v>
      </x:c>
      <x:c r="K27" s="30" t="str">
        <x:v>EVD-688726-0005</x:v>
      </x:c>
      <x:c r="L27" s="30" t="str">
        <x:v>FINAL_APPROVED</x:v>
      </x:c>
    </x:row>
    <x:row r="28">
      <x:c r="A28" s="30" t="str">
        <x:v>TRX-688726-0006</x:v>
      </x:c>
      <x:c r="B28" s="30" t="str">
        <x:v>TP-688726-0024</x:v>
      </x:c>
      <x:c r="C28" s="30" t="str">
        <x:v>STD-688726-064</x:v>
      </x:c>
      <x:c r="D28" s="30" t="str">
        <x:v>TRANSFEREE</x:v>
      </x:c>
      <x:c r="E28" s="30" t="str">
        <x:v>TRANSFEREE</x:v>
      </x:c>
      <x:c r="F28" s="73" t="n">
        <x:v>240</x:v>
      </x:c>
      <x:c r="G28" s="73" t="str">
        <x:v>DISCLOSED_COMPLETE</x:v>
      </x:c>
      <x:c r="H28" s="76" t="n">
        <x:v>0.0071</x:v>
      </x:c>
      <x:c r="I28" s="76" t="str">
        <x:v>DISCLOSED_COMPLETE</x:v>
      </x:c>
      <x:c r="J28" s="30" t="str">
        <x:v>DISCLOSED</x:v>
      </x:c>
      <x:c r="K28" s="30" t="str">
        <x:v>EVD-688726-0005</x:v>
      </x:c>
      <x:c r="L28" s="30" t="str">
        <x:v>FINAL_APPROVED</x:v>
      </x:c>
    </x:row>
    <x:row r="29">
      <x:c r="A29" s="30" t="str">
        <x:v>TRX-688726-0007</x:v>
      </x:c>
      <x:c r="B29" s="30" t="str">
        <x:v>TP-688726-0025</x:v>
      </x:c>
      <x:c r="C29" s="30" t="str">
        <x:v>STD-688726-029</x:v>
      </x:c>
      <x:c r="D29" s="30" t="str">
        <x:v>TRANSFEROR</x:v>
      </x:c>
      <x:c r="E29" s="30" t="str">
        <x:v>TRANSFEROR</x:v>
      </x:c>
      <x:c r="F29" s="73"/>
      <x:c r="G29" s="73" t="str">
        <x:v>NOT_APPLICABLE</x:v>
      </x:c>
      <x:c r="H29" s="76"/>
      <x:c r="I29" s="76" t="str">
        <x:v>NOT_APPLICABLE</x:v>
      </x:c>
      <x:c r="J29" s="30" t="str">
        <x:v>DISCLOSED</x:v>
      </x:c>
      <x:c r="K29" s="30" t="str">
        <x:v>EVD-688726-0005</x:v>
      </x:c>
      <x:c r="L29" s="30" t="str">
        <x:v>FINAL_APPROVED</x:v>
      </x:c>
    </x:row>
    <x:row r="30">
      <x:c r="A30" s="30" t="str">
        <x:v>TRX-688726-0007</x:v>
      </x:c>
      <x:c r="B30" s="30" t="str">
        <x:v>TP-688726-0026</x:v>
      </x:c>
      <x:c r="C30" s="30" t="str">
        <x:v>STD-688726-064</x:v>
      </x:c>
      <x:c r="D30" s="30" t="str">
        <x:v>TRANSFEREE</x:v>
      </x:c>
      <x:c r="E30" s="30" t="str">
        <x:v>TRANSFEREE</x:v>
      </x:c>
      <x:c r="F30" s="73" t="n">
        <x:v>135</x:v>
      </x:c>
      <x:c r="G30" s="73" t="str">
        <x:v>DISCLOSED_COMPLETE</x:v>
      </x:c>
      <x:c r="H30" s="76" t="n">
        <x:v>0.004</x:v>
      </x:c>
      <x:c r="I30" s="76" t="str">
        <x:v>DISCLOSED_COMPLETE</x:v>
      </x:c>
      <x:c r="J30" s="30" t="str">
        <x:v>DISCLOSED</x:v>
      </x:c>
      <x:c r="K30" s="30" t="str">
        <x:v>EVD-688726-0005</x:v>
      </x:c>
      <x:c r="L30" s="30" t="str">
        <x:v>FINAL_APPROVED</x:v>
      </x:c>
    </x:row>
    <x:row r="31">
      <x:c r="A31" s="30" t="str">
        <x:v>TRX-688726-0008</x:v>
      </x:c>
      <x:c r="B31" s="30" t="str">
        <x:v>TP-688726-0027</x:v>
      </x:c>
      <x:c r="C31" s="30" t="str">
        <x:v>STD-688726-041</x:v>
      </x:c>
      <x:c r="D31" s="30" t="str">
        <x:v>TRANSFEROR</x:v>
      </x:c>
      <x:c r="E31" s="30" t="str">
        <x:v>TRANSFEROR</x:v>
      </x:c>
      <x:c r="F31" s="73"/>
      <x:c r="G31" s="73" t="str">
        <x:v>NOT_APPLICABLE</x:v>
      </x:c>
      <x:c r="H31" s="76"/>
      <x:c r="I31" s="76" t="str">
        <x:v>NOT_APPLICABLE</x:v>
      </x:c>
      <x:c r="J31" s="30" t="str">
        <x:v>DISCLOSED</x:v>
      </x:c>
      <x:c r="K31" s="30" t="str">
        <x:v>EVD-688726-0005</x:v>
      </x:c>
      <x:c r="L31" s="30" t="str">
        <x:v>FINAL_APPROVED</x:v>
      </x:c>
    </x:row>
    <x:row r="32">
      <x:c r="A32" s="30" t="str">
        <x:v>TRX-688726-0008</x:v>
      </x:c>
      <x:c r="B32" s="30" t="str">
        <x:v>TP-688726-0028</x:v>
      </x:c>
      <x:c r="C32" s="30" t="str">
        <x:v>STD-688726-064</x:v>
      </x:c>
      <x:c r="D32" s="30" t="str">
        <x:v>TRANSFEREE</x:v>
      </x:c>
      <x:c r="E32" s="30" t="str">
        <x:v>TRANSFEREE</x:v>
      </x:c>
      <x:c r="F32" s="73" t="n">
        <x:v>135</x:v>
      </x:c>
      <x:c r="G32" s="73" t="str">
        <x:v>DISCLOSED_COMPLETE</x:v>
      </x:c>
      <x:c r="H32" s="76" t="n">
        <x:v>0.004</x:v>
      </x:c>
      <x:c r="I32" s="76" t="str">
        <x:v>DISCLOSED_COMPLETE</x:v>
      </x:c>
      <x:c r="J32" s="30" t="str">
        <x:v>DISCLOSED</x:v>
      </x:c>
      <x:c r="K32" s="30" t="str">
        <x:v>EVD-688726-0005</x:v>
      </x:c>
      <x:c r="L32" s="30" t="str">
        <x:v>FINAL_APPROVED</x:v>
      </x:c>
    </x:row>
    <x:row r="33">
      <x:c r="A33" s="30" t="str">
        <x:v>TRX-688726-0009</x:v>
      </x:c>
      <x:c r="B33" s="30" t="str">
        <x:v>TP-688726-0029</x:v>
      </x:c>
      <x:c r="C33" s="30" t="str">
        <x:v>STD-688726-062</x:v>
      </x:c>
      <x:c r="D33" s="30" t="str">
        <x:v>TRANSFEROR</x:v>
      </x:c>
      <x:c r="E33" s="30" t="str">
        <x:v>TRANSFEROR</x:v>
      </x:c>
      <x:c r="F33" s="73"/>
      <x:c r="G33" s="73" t="str">
        <x:v>NOT_APPLICABLE</x:v>
      </x:c>
      <x:c r="H33" s="76"/>
      <x:c r="I33" s="76" t="str">
        <x:v>NOT_APPLICABLE</x:v>
      </x:c>
      <x:c r="J33" s="30" t="str">
        <x:v>DISCLOSED</x:v>
      </x:c>
      <x:c r="K33" s="30" t="str">
        <x:v>EVD-688726-0005</x:v>
      </x:c>
      <x:c r="L33" s="30" t="str">
        <x:v>FINAL_APPROVED</x:v>
      </x:c>
    </x:row>
    <x:row r="34">
      <x:c r="A34" s="30" t="str">
        <x:v>TRX-688726-0009</x:v>
      </x:c>
      <x:c r="B34" s="30" t="str">
        <x:v>TP-688726-0030</x:v>
      </x:c>
      <x:c r="C34" s="30" t="str">
        <x:v>STD-688726-064</x:v>
      </x:c>
      <x:c r="D34" s="30" t="str">
        <x:v>TRANSFEREE</x:v>
      </x:c>
      <x:c r="E34" s="30" t="str">
        <x:v>TRANSFEREE</x:v>
      </x:c>
      <x:c r="F34" s="73" t="n">
        <x:v>105</x:v>
      </x:c>
      <x:c r="G34" s="73" t="str">
        <x:v>DISCLOSED_COMPLETE</x:v>
      </x:c>
      <x:c r="H34" s="76" t="n">
        <x:v>0.0031</x:v>
      </x:c>
      <x:c r="I34" s="76" t="str">
        <x:v>DISCLOSED_COMPLETE</x:v>
      </x:c>
      <x:c r="J34" s="30" t="str">
        <x:v>DISCLOSED</x:v>
      </x:c>
      <x:c r="K34" s="30" t="str">
        <x:v>EVD-688726-0005</x:v>
      </x:c>
      <x:c r="L34" s="30" t="str">
        <x:v>FINAL_APPROVED</x:v>
      </x:c>
    </x:row>
    <x:row r="35">
      <x:c r="A35" s="30" t="str">
        <x:v>TRX-688726-0010</x:v>
      </x:c>
      <x:c r="B35" s="30" t="str">
        <x:v>TP-688726-0031</x:v>
      </x:c>
      <x:c r="C35" s="30" t="str">
        <x:v>STD-688726-027</x:v>
      </x:c>
      <x:c r="D35" s="30" t="str">
        <x:v>TRANSFEROR</x:v>
      </x:c>
      <x:c r="E35" s="30" t="str">
        <x:v>TRANSFEROR</x:v>
      </x:c>
      <x:c r="F35" s="73"/>
      <x:c r="G35" s="73" t="str">
        <x:v>NOT_APPLICABLE</x:v>
      </x:c>
      <x:c r="H35" s="76"/>
      <x:c r="I35" s="76" t="str">
        <x:v>NOT_APPLICABLE</x:v>
      </x:c>
      <x:c r="J35" s="30" t="str">
        <x:v>DISCLOSED</x:v>
      </x:c>
      <x:c r="K35" s="30" t="str">
        <x:v>EVD-688726-0005</x:v>
      </x:c>
      <x:c r="L35" s="30" t="str">
        <x:v>FINAL_APPROVED</x:v>
      </x:c>
    </x:row>
    <x:row r="36">
      <x:c r="A36" s="30" t="str">
        <x:v>TRX-688726-0010</x:v>
      </x:c>
      <x:c r="B36" s="30" t="str">
        <x:v>TP-688726-0032</x:v>
      </x:c>
      <x:c r="C36" s="30" t="str">
        <x:v>STD-688726-064</x:v>
      </x:c>
      <x:c r="D36" s="30" t="str">
        <x:v>TRANSFEREE</x:v>
      </x:c>
      <x:c r="E36" s="30" t="str">
        <x:v>TRANSFEREE</x:v>
      </x:c>
      <x:c r="F36" s="73" t="n">
        <x:v>105</x:v>
      </x:c>
      <x:c r="G36" s="73" t="str">
        <x:v>DISCLOSED_COMPLETE</x:v>
      </x:c>
      <x:c r="H36" s="76" t="n">
        <x:v>0.0031</x:v>
      </x:c>
      <x:c r="I36" s="76" t="str">
        <x:v>DISCLOSED_COMPLETE</x:v>
      </x:c>
      <x:c r="J36" s="30" t="str">
        <x:v>DISCLOSED</x:v>
      </x:c>
      <x:c r="K36" s="30" t="str">
        <x:v>EVD-688726-0005</x:v>
      </x:c>
      <x:c r="L36" s="30" t="str">
        <x:v>FINAL_APPROVED</x:v>
      </x:c>
    </x:row>
    <x:row r="37">
      <x:c r="A37" s="30" t="str">
        <x:v>TRX-688726-0011</x:v>
      </x:c>
      <x:c r="B37" s="30" t="str">
        <x:v>TP-688726-0033</x:v>
      </x:c>
      <x:c r="C37" s="30" t="str">
        <x:v>STD-688726-010</x:v>
      </x:c>
      <x:c r="D37" s="30" t="str">
        <x:v>TRANSFEROR</x:v>
      </x:c>
      <x:c r="E37" s="30" t="str">
        <x:v>TRANSFEROR</x:v>
      </x:c>
      <x:c r="F37" s="73"/>
      <x:c r="G37" s="73" t="str">
        <x:v>NOT_APPLICABLE</x:v>
      </x:c>
      <x:c r="H37" s="76"/>
      <x:c r="I37" s="76" t="str">
        <x:v>NOT_APPLICABLE</x:v>
      </x:c>
      <x:c r="J37" s="30" t="str">
        <x:v>DISCLOSED</x:v>
      </x:c>
      <x:c r="K37" s="30" t="str">
        <x:v>EVD-688726-0005</x:v>
      </x:c>
      <x:c r="L37" s="30" t="str">
        <x:v>FINAL_APPROVED</x:v>
      </x:c>
    </x:row>
    <x:row r="38">
      <x:c r="A38" s="30" t="str">
        <x:v>TRX-688726-0011</x:v>
      </x:c>
      <x:c r="B38" s="30" t="str">
        <x:v>TP-688726-0034</x:v>
      </x:c>
      <x:c r="C38" s="30" t="str">
        <x:v>STD-688726-059</x:v>
      </x:c>
      <x:c r="D38" s="30" t="str">
        <x:v>TRANSFEREE</x:v>
      </x:c>
      <x:c r="E38" s="30" t="str">
        <x:v>TRANSFEREE</x:v>
      </x:c>
      <x:c r="F38" s="73" t="n">
        <x:v>432</x:v>
      </x:c>
      <x:c r="G38" s="73" t="str">
        <x:v>DISCLOSED_COMPLETE</x:v>
      </x:c>
      <x:c r="H38" s="76" t="n">
        <x:v>0.0127</x:v>
      </x:c>
      <x:c r="I38" s="76" t="str">
        <x:v>DISCLOSED_COMPLETE</x:v>
      </x:c>
      <x:c r="J38" s="30" t="str">
        <x:v>DISCLOSED</x:v>
      </x:c>
      <x:c r="K38" s="30" t="str">
        <x:v>EVD-688726-0005</x:v>
      </x:c>
      <x:c r="L38" s="30" t="str">
        <x:v>FINAL_APPROVED</x:v>
      </x:c>
    </x:row>
    <x:row r="39">
      <x:c r="A39" s="30" t="str">
        <x:v>TRX-688726-0012</x:v>
      </x:c>
      <x:c r="B39" s="30" t="str">
        <x:v>TP-688726-0035</x:v>
      </x:c>
      <x:c r="C39" s="30" t="str">
        <x:v>STD-688726-040</x:v>
      </x:c>
      <x:c r="D39" s="30" t="str">
        <x:v>INVESTOR</x:v>
      </x:c>
      <x:c r="E39" s="30" t="str">
        <x:v>INVESTOR</x:v>
      </x:c>
      <x:c r="F39" s="73" t="n">
        <x:v>5000</x:v>
      </x:c>
      <x:c r="G39" s="73" t="str">
        <x:v>DISCLOSED_COMPLETE</x:v>
      </x:c>
      <x:c r="H39" s="76" t="n">
        <x:v>0.023474198194185145</x:v>
      </x:c>
      <x:c r="I39" s="76" t="str">
        <x:v>DISCLOSED_COMPLETE</x:v>
      </x:c>
      <x:c r="J39" s="30" t="str">
        <x:v>DISCLOSED</x:v>
      </x:c>
      <x:c r="K39" s="30" t="str">
        <x:v>EVD-688726-0006</x:v>
      </x:c>
      <x:c r="L39" s="30" t="str">
        <x:v>FINAL_APPROVED</x:v>
      </x:c>
    </x:row>
    <x:row r="40">
      <x:c r="A40" s="30" t="str">
        <x:v>TRX-688726-0012</x:v>
      </x:c>
      <x:c r="B40" s="30" t="str">
        <x:v>TP-688726-0036</x:v>
      </x:c>
      <x:c r="C40" s="30" t="str">
        <x:v>STD-688726-045</x:v>
      </x:c>
      <x:c r="D40" s="30" t="str">
        <x:v>INVESTOR</x:v>
      </x:c>
      <x:c r="E40" s="30" t="str">
        <x:v>INVESTOR</x:v>
      </x:c>
      <x:c r="F40" s="73" t="n">
        <x:v>5000</x:v>
      </x:c>
      <x:c r="G40" s="73" t="str">
        <x:v>DISCLOSED_COMPLETE</x:v>
      </x:c>
      <x:c r="H40" s="76" t="n">
        <x:v>0.023474198194185145</x:v>
      </x:c>
      <x:c r="I40" s="76" t="str">
        <x:v>DISCLOSED_COMPLETE</x:v>
      </x:c>
      <x:c r="J40" s="30" t="str">
        <x:v>DISCLOSED</x:v>
      </x:c>
      <x:c r="K40" s="30" t="str">
        <x:v>EVD-688726-0006</x:v>
      </x:c>
      <x:c r="L40" s="30" t="str">
        <x:v>FINAL_APPROVED</x:v>
      </x:c>
    </x:row>
    <x:row r="41">
      <x:c r="A41" s="30" t="str">
        <x:v>TRX-688726-0012</x:v>
      </x:c>
      <x:c r="B41" s="30" t="str">
        <x:v>TP-688726-0037</x:v>
      </x:c>
      <x:c r="C41" s="30" t="str">
        <x:v>STD-688726-008</x:v>
      </x:c>
      <x:c r="D41" s="30" t="str">
        <x:v>INVESTOR</x:v>
      </x:c>
      <x:c r="E41" s="30" t="str">
        <x:v>INVESTOR</x:v>
      </x:c>
      <x:c r="F41" s="73" t="n">
        <x:v>5000</x:v>
      </x:c>
      <x:c r="G41" s="73" t="str">
        <x:v>DISCLOSED_COMPLETE</x:v>
      </x:c>
      <x:c r="H41" s="76" t="n">
        <x:v>0.023474198194185145</x:v>
      </x:c>
      <x:c r="I41" s="76" t="str">
        <x:v>DISCLOSED_COMPLETE</x:v>
      </x:c>
      <x:c r="J41" s="30" t="str">
        <x:v>DISCLOSED</x:v>
      </x:c>
      <x:c r="K41" s="30" t="str">
        <x:v>EVD-688726-0006</x:v>
      </x:c>
      <x:c r="L41" s="30" t="str">
        <x:v>FINAL_APPROVED</x:v>
      </x:c>
    </x:row>
    <x:row r="42">
      <x:c r="A42" s="30" t="str">
        <x:v>TRX-688726-0012</x:v>
      </x:c>
      <x:c r="B42" s="30" t="str">
        <x:v>TP-688726-0038</x:v>
      </x:c>
      <x:c r="C42" s="30" t="str">
        <x:v>STD-688726-050</x:v>
      </x:c>
      <x:c r="D42" s="30" t="str">
        <x:v>INVESTOR</x:v>
      </x:c>
      <x:c r="E42" s="30" t="str">
        <x:v>INVESTOR</x:v>
      </x:c>
      <x:c r="F42" s="73" t="n">
        <x:v>4078</x:v>
      </x:c>
      <x:c r="G42" s="73" t="str">
        <x:v>DISCLOSED_COMPLETE</x:v>
      </x:c>
      <x:c r="H42" s="76" t="n">
        <x:v>0.01914555849975133</x:v>
      </x:c>
      <x:c r="I42" s="76" t="str">
        <x:v>DISCLOSED_COMPLETE</x:v>
      </x:c>
      <x:c r="J42" s="30" t="str">
        <x:v>DISCLOSED</x:v>
      </x:c>
      <x:c r="K42" s="30" t="str">
        <x:v>EVD-688726-0006</x:v>
      </x:c>
      <x:c r="L42" s="30" t="str">
        <x:v>FINAL_APPROVED</x:v>
      </x:c>
    </x:row>
    <x:row r="43">
      <x:c r="A43" s="30" t="str">
        <x:v>TRX-688726-0012</x:v>
      </x:c>
      <x:c r="B43" s="30" t="str">
        <x:v>TP-688726-0039</x:v>
      </x:c>
      <x:c r="C43" s="30" t="str">
        <x:v>STD-688726-061</x:v>
      </x:c>
      <x:c r="D43" s="30" t="str">
        <x:v>INVESTOR</x:v>
      </x:c>
      <x:c r="E43" s="30" t="str">
        <x:v>INVESTOR</x:v>
      </x:c>
      <x:c r="F43" s="73" t="n">
        <x:v>6000</x:v>
      </x:c>
      <x:c r="G43" s="73" t="str">
        <x:v>DISCLOSED_COMPLETE</x:v>
      </x:c>
      <x:c r="H43" s="76" t="n">
        <x:v>0.028169037833022173</x:v>
      </x:c>
      <x:c r="I43" s="76" t="str">
        <x:v>DISCLOSED_COMPLETE</x:v>
      </x:c>
      <x:c r="J43" s="30" t="str">
        <x:v>DISCLOSED</x:v>
      </x:c>
      <x:c r="K43" s="30" t="str">
        <x:v>EVD-688726-0006</x:v>
      </x:c>
      <x:c r="L43" s="30" t="str">
        <x:v>FINAL_APPROVED</x:v>
      </x:c>
    </x:row>
    <x:row r="44">
      <x:c r="A44" s="30" t="str">
        <x:v>TRX-688726-0012</x:v>
      </x:c>
      <x:c r="B44" s="30" t="str">
        <x:v>TP-688726-0040</x:v>
      </x:c>
      <x:c r="C44" s="30" t="str">
        <x:v>STD-688726-016</x:v>
      </x:c>
      <x:c r="D44" s="30" t="str">
        <x:v>INVESTOR</x:v>
      </x:c>
      <x:c r="E44" s="30" t="str">
        <x:v>INVESTOR</x:v>
      </x:c>
      <x:c r="F44" s="73" t="n">
        <x:v>222</x:v>
      </x:c>
      <x:c r="G44" s="73" t="str">
        <x:v>DISCLOSED_COMPLETE</x:v>
      </x:c>
      <x:c r="H44" s="76" t="n">
        <x:v>0.0010422672758349347</x:v>
      </x:c>
      <x:c r="I44" s="76" t="str">
        <x:v>DISCLOSED_COMPLETE</x:v>
      </x:c>
      <x:c r="J44" s="30" t="str">
        <x:v>DISCLOSED</x:v>
      </x:c>
      <x:c r="K44" s="30" t="str">
        <x:v>EVD-688726-0006</x:v>
      </x:c>
      <x:c r="L44" s="30" t="str">
        <x:v>FINAL_APPROVED</x:v>
      </x:c>
    </x:row>
    <x:row r="45">
      <x:c r="A45" s="30" t="str">
        <x:v>TRX-688726-0012</x:v>
      </x:c>
      <x:c r="B45" s="30" t="str">
        <x:v>TP-688726-0041</x:v>
      </x:c>
      <x:c r="C45" s="30" t="str">
        <x:v>STD-688726-074</x:v>
      </x:c>
      <x:c r="D45" s="30" t="str">
        <x:v>INVESTOR</x:v>
      </x:c>
      <x:c r="E45" s="30" t="str">
        <x:v>INVESTOR</x:v>
      </x:c>
      <x:c r="F45" s="73" t="n">
        <x:v>2000</x:v>
      </x:c>
      <x:c r="G45" s="73" t="str">
        <x:v>DISCLOSED_COMPLETE</x:v>
      </x:c>
      <x:c r="H45" s="76" t="n">
        <x:v>0.009389679277674059</x:v>
      </x:c>
      <x:c r="I45" s="76" t="str">
        <x:v>DISCLOSED_COMPLETE</x:v>
      </x:c>
      <x:c r="J45" s="30" t="str">
        <x:v>DISCLOSED</x:v>
      </x:c>
      <x:c r="K45" s="30" t="str">
        <x:v>EVD-688726-0006</x:v>
      </x:c>
      <x:c r="L45" s="30" t="str">
        <x:v>FINAL_APPROVED</x:v>
      </x:c>
    </x:row>
    <x:row r="46">
      <x:c r="A46" s="30" t="str">
        <x:v>TRX-688726-0012</x:v>
      </x:c>
      <x:c r="B46" s="30" t="str">
        <x:v>TP-688726-0042</x:v>
      </x:c>
      <x:c r="C46" s="30" t="str">
        <x:v>STD-688726-075</x:v>
      </x:c>
      <x:c r="D46" s="30" t="str">
        <x:v>INVESTOR</x:v>
      </x:c>
      <x:c r="E46" s="30" t="str">
        <x:v>INVESTOR</x:v>
      </x:c>
      <x:c r="F46" s="73" t="n">
        <x:v>2400</x:v>
      </x:c>
      <x:c r="G46" s="73" t="str">
        <x:v>DISCLOSED_COMPLETE</x:v>
      </x:c>
      <x:c r="H46" s="76" t="n">
        <x:v>0.011267584476034789</x:v>
      </x:c>
      <x:c r="I46" s="76" t="str">
        <x:v>DISCLOSED_COMPLETE</x:v>
      </x:c>
      <x:c r="J46" s="30" t="str">
        <x:v>DISCLOSED</x:v>
      </x:c>
      <x:c r="K46" s="30" t="str">
        <x:v>EVD-688726-0006</x:v>
      </x:c>
      <x:c r="L46" s="30" t="str">
        <x:v>FINAL_APPROVED</x:v>
      </x:c>
    </x:row>
    <x:row r="47">
      <x:c r="A47" s="30" t="str">
        <x:v>TRX-688726-0012</x:v>
      </x:c>
      <x:c r="B47" s="30" t="str">
        <x:v>TP-688726-0043</x:v>
      </x:c>
      <x:c r="C47" s="30" t="str">
        <x:v>STD-688726-033</x:v>
      </x:c>
      <x:c r="D47" s="30" t="str">
        <x:v>INVESTOR</x:v>
      </x:c>
      <x:c r="E47" s="30" t="str">
        <x:v>INVESTOR</x:v>
      </x:c>
      <x:c r="F47" s="73" t="n">
        <x:v>600</x:v>
      </x:c>
      <x:c r="G47" s="73" t="str">
        <x:v>DISCLOSED_COMPLETE</x:v>
      </x:c>
      <x:c r="H47" s="76" t="n">
        <x:v>0.0028169344404762988</x:v>
      </x:c>
      <x:c r="I47" s="76" t="str">
        <x:v>DISCLOSED_COMPLETE</x:v>
      </x:c>
      <x:c r="J47" s="30" t="str">
        <x:v>DISCLOSED</x:v>
      </x:c>
      <x:c r="K47" s="30" t="str">
        <x:v>EVD-688726-0006</x:v>
      </x:c>
      <x:c r="L47" s="30" t="str">
        <x:v>FINAL_APPROVED</x:v>
      </x:c>
    </x:row>
    <x:row r="48">
      <x:c r="A48" s="30" t="str">
        <x:v>TRX-688726-0012</x:v>
      </x:c>
      <x:c r="B48" s="30" t="str">
        <x:v>TP-688726-0044</x:v>
      </x:c>
      <x:c r="C48" s="30" t="str">
        <x:v>STD-688726-014</x:v>
      </x:c>
      <x:c r="D48" s="30" t="str">
        <x:v>INVESTOR</x:v>
      </x:c>
      <x:c r="E48" s="30" t="str">
        <x:v>INVESTOR</x:v>
      </x:c>
      <x:c r="F48" s="73" t="n">
        <x:v>1200</x:v>
      </x:c>
      <x:c r="G48" s="73" t="str">
        <x:v>DISCLOSED_COMPLETE</x:v>
      </x:c>
      <x:c r="H48" s="76" t="n">
        <x:v>0.005633792238017394</x:v>
      </x:c>
      <x:c r="I48" s="76" t="str">
        <x:v>DISCLOSED_COMPLETE</x:v>
      </x:c>
      <x:c r="J48" s="30" t="str">
        <x:v>DISCLOSED</x:v>
      </x:c>
      <x:c r="K48" s="30" t="str">
        <x:v>EVD-688726-0006</x:v>
      </x:c>
      <x:c r="L48" s="30" t="str">
        <x:v>FINAL_APPROVED</x:v>
      </x:c>
    </x:row>
    <x:row r="49">
      <x:c r="A49" s="30" t="str">
        <x:v>TRX-688726-0012</x:v>
      </x:c>
      <x:c r="B49" s="30" t="str">
        <x:v>TP-688726-0045</x:v>
      </x:c>
      <x:c r="C49" s="30" t="str">
        <x:v>STD-688726-026</x:v>
      </x:c>
      <x:c r="D49" s="30" t="str">
        <x:v>INVESTOR</x:v>
      </x:c>
      <x:c r="E49" s="30" t="str">
        <x:v>INVESTOR</x:v>
      </x:c>
      <x:c r="F49" s="73" t="n">
        <x:v>1500</x:v>
      </x:c>
      <x:c r="G49" s="73" t="str">
        <x:v>DISCLOSED_COMPLETE</x:v>
      </x:c>
      <x:c r="H49" s="76" t="n">
        <x:v>0.007042259458255543</x:v>
      </x:c>
      <x:c r="I49" s="76" t="str">
        <x:v>DISCLOSED_COMPLETE</x:v>
      </x:c>
      <x:c r="J49" s="30" t="str">
        <x:v>DISCLOSED</x:v>
      </x:c>
      <x:c r="K49" s="30" t="str">
        <x:v>EVD-688726-0006</x:v>
      </x:c>
      <x:c r="L49" s="30" t="str">
        <x:v>FINAL_APPROVED</x:v>
      </x:c>
    </x:row>
    <x:row r="50">
      <x:c r="A50" s="30" t="str">
        <x:v>TRX-688726-0013</x:v>
      </x:c>
      <x:c r="B50" s="30" t="str">
        <x:v>TP-688726-0046</x:v>
      </x:c>
      <x:c r="C50" s="30" t="str">
        <x:v>STD-688726-068</x:v>
      </x:c>
      <x:c r="D50" s="30" t="str">
        <x:v>TRANSFEROR</x:v>
      </x:c>
      <x:c r="E50" s="30" t="str">
        <x:v>TRANSFEROR</x:v>
      </x:c>
      <x:c r="F50" s="73"/>
      <x:c r="G50" s="73" t="str">
        <x:v>NOT_APPLICABLE</x:v>
      </x:c>
      <x:c r="H50" s="76"/>
      <x:c r="I50" s="76" t="str">
        <x:v>NOT_APPLICABLE</x:v>
      </x:c>
      <x:c r="J50" s="30" t="str">
        <x:v>DISCLOSED</x:v>
      </x:c>
      <x:c r="K50" s="30" t="str">
        <x:v>EVD-688726-0007</x:v>
      </x:c>
      <x:c r="L50" s="30" t="str">
        <x:v>FINAL_APPROVED</x:v>
      </x:c>
    </x:row>
    <x:row r="51">
      <x:c r="A51" s="30" t="str">
        <x:v>TRX-688726-0013</x:v>
      </x:c>
      <x:c r="B51" s="30" t="str">
        <x:v>TP-688726-0047</x:v>
      </x:c>
      <x:c r="C51" s="30" t="str">
        <x:v>STD-688726-018</x:v>
      </x:c>
      <x:c r="D51" s="30" t="str">
        <x:v>TRANSFEREE</x:v>
      </x:c>
      <x:c r="E51" s="30" t="str">
        <x:v>TRANSFEREE</x:v>
      </x:c>
      <x:c r="F51" s="73" t="n">
        <x:v>2000</x:v>
      </x:c>
      <x:c r="G51" s="73" t="str">
        <x:v>DISCLOSED_COMPLETE</x:v>
      </x:c>
      <x:c r="H51" s="76" t="n">
        <x:v>0.0094</x:v>
      </x:c>
      <x:c r="I51" s="76" t="str">
        <x:v>DISCLOSED_COMPLETE</x:v>
      </x:c>
      <x:c r="J51" s="30" t="str">
        <x:v>DISCLOSED</x:v>
      </x:c>
      <x:c r="K51" s="30" t="str">
        <x:v>EVD-688726-0007</x:v>
      </x:c>
      <x:c r="L51" s="30" t="str">
        <x:v>FINAL_APPROVED</x:v>
      </x:c>
    </x:row>
    <x:row r="52">
      <x:c r="A52" s="30" t="str">
        <x:v>TRX-688726-0014</x:v>
      </x:c>
      <x:c r="B52" s="30" t="str">
        <x:v>TP-688726-0048</x:v>
      </x:c>
      <x:c r="C52" s="30" t="str">
        <x:v>STD-688726-043</x:v>
      </x:c>
      <x:c r="D52" s="30" t="str">
        <x:v>TRANSFEROR</x:v>
      </x:c>
      <x:c r="E52" s="30" t="str">
        <x:v>TRANSFEROR</x:v>
      </x:c>
      <x:c r="F52" s="73"/>
      <x:c r="G52" s="73" t="str">
        <x:v>NOT_APPLICABLE</x:v>
      </x:c>
      <x:c r="H52" s="76"/>
      <x:c r="I52" s="76" t="str">
        <x:v>NOT_APPLICABLE</x:v>
      </x:c>
      <x:c r="J52" s="30" t="str">
        <x:v>DISCLOSED</x:v>
      </x:c>
      <x:c r="K52" s="30" t="str">
        <x:v>EVD-688726-0007</x:v>
      </x:c>
      <x:c r="L52" s="30" t="str">
        <x:v>FINAL_APPROVED</x:v>
      </x:c>
    </x:row>
    <x:row r="53">
      <x:c r="A53" s="30" t="str">
        <x:v>TRX-688726-0014</x:v>
      </x:c>
      <x:c r="B53" s="30" t="str">
        <x:v>TP-688726-0049</x:v>
      </x:c>
      <x:c r="C53" s="30" t="str">
        <x:v>STD-688726-072</x:v>
      </x:c>
      <x:c r="D53" s="30" t="str">
        <x:v>TRANSFEREE</x:v>
      </x:c>
      <x:c r="E53" s="30" t="str">
        <x:v>TRANSFEREE</x:v>
      </x:c>
      <x:c r="F53" s="73" t="n">
        <x:v>800</x:v>
      </x:c>
      <x:c r="G53" s="73" t="str">
        <x:v>DISCLOSED_COMPLETE</x:v>
      </x:c>
      <x:c r="H53" s="76" t="n">
        <x:v>0.0038</x:v>
      </x:c>
      <x:c r="I53" s="76" t="str">
        <x:v>DISCLOSED_COMPLETE</x:v>
      </x:c>
      <x:c r="J53" s="30" t="str">
        <x:v>DISCLOSED</x:v>
      </x:c>
      <x:c r="K53" s="30" t="str">
        <x:v>EVD-688726-0007</x:v>
      </x:c>
      <x:c r="L53" s="30" t="str">
        <x:v>FINAL_APPROVED</x:v>
      </x:c>
    </x:row>
    <x:row r="54">
      <x:c r="A54" s="30" t="str">
        <x:v>TRX-688726-0015</x:v>
      </x:c>
      <x:c r="B54" s="30" t="str">
        <x:v>TP-688726-0050</x:v>
      </x:c>
      <x:c r="C54" s="30" t="str">
        <x:v>STD-688726-024</x:v>
      </x:c>
      <x:c r="D54" s="30" t="str">
        <x:v>TRANSFEROR</x:v>
      </x:c>
      <x:c r="E54" s="30" t="str">
        <x:v>TRANSFEROR</x:v>
      </x:c>
      <x:c r="F54" s="73"/>
      <x:c r="G54" s="73" t="str">
        <x:v>NOT_APPLICABLE</x:v>
      </x:c>
      <x:c r="H54" s="76"/>
      <x:c r="I54" s="76" t="str">
        <x:v>NOT_APPLICABLE</x:v>
      </x:c>
      <x:c r="J54" s="30" t="str">
        <x:v>DISCLOSED</x:v>
      </x:c>
      <x:c r="K54" s="30" t="str">
        <x:v>EVD-688726-0007</x:v>
      </x:c>
      <x:c r="L54" s="30" t="str">
        <x:v>FINAL_APPROVED</x:v>
      </x:c>
    </x:row>
    <x:row r="55">
      <x:c r="A55" s="30" t="str">
        <x:v>TRX-688726-0015</x:v>
      </x:c>
      <x:c r="B55" s="30" t="str">
        <x:v>TP-688726-0051</x:v>
      </x:c>
      <x:c r="C55" s="30" t="str">
        <x:v>STD-688726-037</x:v>
      </x:c>
      <x:c r="D55" s="30" t="str">
        <x:v>TRANSFEREE</x:v>
      </x:c>
      <x:c r="E55" s="30" t="str">
        <x:v>TRANSFEREE</x:v>
      </x:c>
      <x:c r="F55" s="73" t="n">
        <x:v>600</x:v>
      </x:c>
      <x:c r="G55" s="73" t="str">
        <x:v>DISCLOSED_COMPLETE</x:v>
      </x:c>
      <x:c r="H55" s="76" t="n">
        <x:v>0.0028</x:v>
      </x:c>
      <x:c r="I55" s="76" t="str">
        <x:v>DISCLOSED_COMPLETE</x:v>
      </x:c>
      <x:c r="J55" s="30" t="str">
        <x:v>DISCLOSED</x:v>
      </x:c>
      <x:c r="K55" s="30" t="str">
        <x:v>EVD-688726-0007</x:v>
      </x:c>
      <x:c r="L55" s="30" t="str">
        <x:v>FINAL_APPROVED</x:v>
      </x:c>
    </x:row>
    <x:row r="56">
      <x:c r="A56" s="30" t="str">
        <x:v>TRX-688726-0016</x:v>
      </x:c>
      <x:c r="B56" s="30" t="str">
        <x:v>TP-688726-0052</x:v>
      </x:c>
      <x:c r="C56" s="30" t="str">
        <x:v>STD-688726-010</x:v>
      </x:c>
      <x:c r="D56" s="30" t="str">
        <x:v>TRANSFEROR</x:v>
      </x:c>
      <x:c r="E56" s="30" t="str">
        <x:v>TRANSFEROR</x:v>
      </x:c>
      <x:c r="F56" s="73"/>
      <x:c r="G56" s="73" t="str">
        <x:v>NOT_APPLICABLE</x:v>
      </x:c>
      <x:c r="H56" s="76"/>
      <x:c r="I56" s="76" t="str">
        <x:v>NOT_APPLICABLE</x:v>
      </x:c>
      <x:c r="J56" s="30" t="str">
        <x:v>DISCLOSED</x:v>
      </x:c>
      <x:c r="K56" s="30" t="str">
        <x:v>EVD-688726-0007</x:v>
      </x:c>
      <x:c r="L56" s="30" t="str">
        <x:v>FINAL_APPROVED</x:v>
      </x:c>
    </x:row>
    <x:row r="57">
      <x:c r="A57" s="30" t="str">
        <x:v>TRX-688726-0016</x:v>
      </x:c>
      <x:c r="B57" s="30" t="str">
        <x:v>TP-688726-0053</x:v>
      </x:c>
      <x:c r="C57" s="30" t="str">
        <x:v>STD-688726-050</x:v>
      </x:c>
      <x:c r="D57" s="30" t="str">
        <x:v>TRANSFEREE</x:v>
      </x:c>
      <x:c r="E57" s="30" t="str">
        <x:v>TRANSFEREE</x:v>
      </x:c>
      <x:c r="F57" s="73" t="n">
        <x:v>1100</x:v>
      </x:c>
      <x:c r="G57" s="73" t="str">
        <x:v>DISCLOSED_COMPLETE</x:v>
      </x:c>
      <x:c r="H57" s="76" t="n">
        <x:v>0.0052</x:v>
      </x:c>
      <x:c r="I57" s="76" t="str">
        <x:v>DISCLOSED_COMPLETE</x:v>
      </x:c>
      <x:c r="J57" s="30" t="str">
        <x:v>DISCLOSED</x:v>
      </x:c>
      <x:c r="K57" s="30" t="str">
        <x:v>EVD-688726-0007</x:v>
      </x:c>
      <x:c r="L57" s="30" t="str">
        <x:v>FINAL_APPROVED</x:v>
      </x:c>
    </x:row>
    <x:row r="58">
      <x:c r="A58" s="30" t="str">
        <x:v>TRX-688726-0017</x:v>
      </x:c>
      <x:c r="B58" s="30" t="str">
        <x:v>TP-688726-0054</x:v>
      </x:c>
      <x:c r="C58" s="30" t="str">
        <x:v>STD-688726-010</x:v>
      </x:c>
      <x:c r="D58" s="30" t="str">
        <x:v>TRANSFEROR</x:v>
      </x:c>
      <x:c r="E58" s="30" t="str">
        <x:v>TRANSFEROR</x:v>
      </x:c>
      <x:c r="F58" s="73"/>
      <x:c r="G58" s="73" t="str">
        <x:v>NOT_APPLICABLE</x:v>
      </x:c>
      <x:c r="H58" s="76"/>
      <x:c r="I58" s="76" t="str">
        <x:v>NOT_APPLICABLE</x:v>
      </x:c>
      <x:c r="J58" s="30" t="str">
        <x:v>DISCLOSED</x:v>
      </x:c>
      <x:c r="K58" s="30" t="str">
        <x:v>EVD-688726-0008</x:v>
      </x:c>
      <x:c r="L58" s="30" t="str">
        <x:v>FINAL_APPROVED</x:v>
      </x:c>
    </x:row>
    <x:row r="59">
      <x:c r="A59" s="30" t="str">
        <x:v>TRX-688726-0017</x:v>
      </x:c>
      <x:c r="B59" s="30" t="str">
        <x:v>TP-688726-0055</x:v>
      </x:c>
      <x:c r="C59" s="30" t="str">
        <x:v>STD-688726-022</x:v>
      </x:c>
      <x:c r="D59" s="30" t="str">
        <x:v>TRANSFEREE</x:v>
      </x:c>
      <x:c r="E59" s="30" t="str">
        <x:v>TRANSFEREE</x:v>
      </x:c>
      <x:c r="F59" s="73" t="n">
        <x:v>0.0001</x:v>
      </x:c>
      <x:c r="G59" s="73" t="str">
        <x:v>DISCLOSED_COMPLETE</x:v>
      </x:c>
      <x:c r="H59" s="76" t="n">
        <x:v>0.0069</x:v>
      </x:c>
      <x:c r="I59" s="76" t="str">
        <x:v>DISCLOSED_COMPLETE</x:v>
      </x:c>
      <x:c r="J59" s="30" t="str">
        <x:v>DISCLOSED</x:v>
      </x:c>
      <x:c r="K59" s="30" t="str">
        <x:v>EVD-688726-0008</x:v>
      </x:c>
      <x:c r="L59" s="30" t="str">
        <x:v>FINAL_APPROVED</x:v>
      </x:c>
    </x:row>
    <x:row r="60">
      <x:c r="A60" s="30" t="str">
        <x:v>TRX-688726-0018</x:v>
      </x:c>
      <x:c r="B60" s="30" t="str">
        <x:v>TP-688726-0056</x:v>
      </x:c>
      <x:c r="C60" s="30" t="str">
        <x:v>STD-688726-068</x:v>
      </x:c>
      <x:c r="D60" s="30" t="str">
        <x:v>TRANSFEROR</x:v>
      </x:c>
      <x:c r="E60" s="30" t="str">
        <x:v>TRANSFEROR</x:v>
      </x:c>
      <x:c r="F60" s="73"/>
      <x:c r="G60" s="73" t="str">
        <x:v>NOT_APPLICABLE</x:v>
      </x:c>
      <x:c r="H60" s="76"/>
      <x:c r="I60" s="76" t="str">
        <x:v>NOT_APPLICABLE</x:v>
      </x:c>
      <x:c r="J60" s="30" t="str">
        <x:v>DISCLOSED</x:v>
      </x:c>
      <x:c r="K60" s="30" t="str">
        <x:v>EVD-688726-0008</x:v>
      </x:c>
      <x:c r="L60" s="30" t="str">
        <x:v>FINAL_APPROVED</x:v>
      </x:c>
    </x:row>
    <x:row r="61">
      <x:c r="A61" s="30" t="str">
        <x:v>TRX-688726-0018</x:v>
      </x:c>
      <x:c r="B61" s="30" t="str">
        <x:v>TP-688726-0057</x:v>
      </x:c>
      <x:c r="C61" s="30" t="str">
        <x:v>STD-688726-022</x:v>
      </x:c>
      <x:c r="D61" s="30" t="str">
        <x:v>TRANSFEREE</x:v>
      </x:c>
      <x:c r="E61" s="30" t="str">
        <x:v>TRANSFEREE</x:v>
      </x:c>
      <x:c r="F61" s="73" t="n">
        <x:v>0.0001</x:v>
      </x:c>
      <x:c r="G61" s="73" t="str">
        <x:v>DISCLOSED_COMPLETE</x:v>
      </x:c>
      <x:c r="H61" s="76" t="n">
        <x:v>0.0031</x:v>
      </x:c>
      <x:c r="I61" s="76" t="str">
        <x:v>DISCLOSED_COMPLETE</x:v>
      </x:c>
      <x:c r="J61" s="30" t="str">
        <x:v>DISCLOSED</x:v>
      </x:c>
      <x:c r="K61" s="30" t="str">
        <x:v>EVD-688726-0008</x:v>
      </x:c>
      <x:c r="L61" s="30" t="str">
        <x:v>FINAL_APPROVED</x:v>
      </x:c>
    </x:row>
    <x:row r="62">
      <x:c r="A62" s="30" t="str">
        <x:v>TRX-688726-0019</x:v>
      </x:c>
      <x:c r="B62" s="30" t="str">
        <x:v>TP-688726-0058</x:v>
      </x:c>
      <x:c r="C62" s="30" t="str">
        <x:v>STD-688726-003</x:v>
      </x:c>
      <x:c r="D62" s="30" t="str">
        <x:v>INVESTOR</x:v>
      </x:c>
      <x:c r="E62" s="30" t="str">
        <x:v>INVESTOR</x:v>
      </x:c>
      <x:c r="F62" s="73" t="n">
        <x:v>3200</x:v>
      </x:c>
      <x:c r="G62" s="73" t="str">
        <x:v>DISCLOSED_COMPLETE</x:v>
      </x:c>
      <x:c r="H62" s="76" t="n">
        <x:v>0.014159288839191715</x:v>
      </x:c>
      <x:c r="I62" s="76" t="str">
        <x:v>DISCLOSED_COMPLETE</x:v>
      </x:c>
      <x:c r="J62" s="30" t="str">
        <x:v>DISCLOSED</x:v>
      </x:c>
      <x:c r="K62" s="30" t="str">
        <x:v>EVD-688726-0009</x:v>
      </x:c>
      <x:c r="L62" s="30" t="str">
        <x:v>FINAL_APPROVED</x:v>
      </x:c>
    </x:row>
    <x:row r="63">
      <x:c r="A63" s="30" t="str">
        <x:v>TRX-688726-0019</x:v>
      </x:c>
      <x:c r="B63" s="30" t="str">
        <x:v>TP-688726-0059</x:v>
      </x:c>
      <x:c r="C63" s="30" t="str">
        <x:v>STD-688726-030</x:v>
      </x:c>
      <x:c r="D63" s="30" t="str">
        <x:v>INVESTOR</x:v>
      </x:c>
      <x:c r="E63" s="30" t="str">
        <x:v>INVESTOR</x:v>
      </x:c>
      <x:c r="F63" s="73" t="n">
        <x:v>3300</x:v>
      </x:c>
      <x:c r="G63" s="73" t="str">
        <x:v>DISCLOSED_COMPLETE</x:v>
      </x:c>
      <x:c r="H63" s="76" t="n">
        <x:v>0.01460179596058754</x:v>
      </x:c>
      <x:c r="I63" s="76" t="str">
        <x:v>DISCLOSED_COMPLETE</x:v>
      </x:c>
      <x:c r="J63" s="30" t="str">
        <x:v>DISCLOSED</x:v>
      </x:c>
      <x:c r="K63" s="30" t="str">
        <x:v>EVD-688726-0009</x:v>
      </x:c>
      <x:c r="L63" s="30" t="str">
        <x:v>FINAL_APPROVED</x:v>
      </x:c>
    </x:row>
    <x:row r="64">
      <x:c r="A64" s="30" t="str">
        <x:v>TRX-688726-0019</x:v>
      </x:c>
      <x:c r="B64" s="30" t="str">
        <x:v>TP-688726-0060</x:v>
      </x:c>
      <x:c r="C64" s="30" t="str">
        <x:v>STD-688726-043</x:v>
      </x:c>
      <x:c r="D64" s="30" t="str">
        <x:v>INVESTOR</x:v>
      </x:c>
      <x:c r="E64" s="30" t="str">
        <x:v>INVESTOR</x:v>
      </x:c>
      <x:c r="F64" s="73" t="n">
        <x:v>3500</x:v>
      </x:c>
      <x:c r="G64" s="73" t="str">
        <x:v>DISCLOSED_COMPLETE</x:v>
      </x:c>
      <x:c r="H64" s="76" t="n">
        <x:v>0.015486737969111906</x:v>
      </x:c>
      <x:c r="I64" s="76" t="str">
        <x:v>DISCLOSED_COMPLETE</x:v>
      </x:c>
      <x:c r="J64" s="30" t="str">
        <x:v>DISCLOSED</x:v>
      </x:c>
      <x:c r="K64" s="30" t="str">
        <x:v>EVD-688726-0009</x:v>
      </x:c>
      <x:c r="L64" s="30" t="str">
        <x:v>FINAL_APPROVED</x:v>
      </x:c>
    </x:row>
    <x:row r="65">
      <x:c r="A65" s="30" t="str">
        <x:v>TRX-688726-0019</x:v>
      </x:c>
      <x:c r="B65" s="30" t="str">
        <x:v>TP-688726-0061</x:v>
      </x:c>
      <x:c r="C65" s="30" t="str">
        <x:v>STD-688726-007</x:v>
      </x:c>
      <x:c r="D65" s="30" t="str">
        <x:v>INVESTOR</x:v>
      </x:c>
      <x:c r="E65" s="30" t="str">
        <x:v>INVESTOR</x:v>
      </x:c>
      <x:c r="F65" s="73" t="n">
        <x:v>3000</x:v>
      </x:c>
      <x:c r="G65" s="73" t="str">
        <x:v>DISCLOSED_COMPLETE</x:v>
      </x:c>
      <x:c r="H65" s="76" t="n">
        <x:v>0.013274346830667349</x:v>
      </x:c>
      <x:c r="I65" s="76" t="str">
        <x:v>DISCLOSED_COMPLETE</x:v>
      </x:c>
      <x:c r="J65" s="30" t="str">
        <x:v>DISCLOSED</x:v>
      </x:c>
      <x:c r="K65" s="30" t="str">
        <x:v>EVD-688726-0009</x:v>
      </x:c>
      <x:c r="L65" s="30" t="str">
        <x:v>FINAL_APPROVED</x:v>
      </x:c>
    </x:row>
    <x:row r="66">
      <x:c r="A66" s="30" t="str">
        <x:v>TRX-688726-0020</x:v>
      </x:c>
      <x:c r="B66" s="30" t="str">
        <x:v>TP-688726-0062</x:v>
      </x:c>
      <x:c r="C66" s="30" t="str">
        <x:v>STD-688726-026</x:v>
      </x:c>
      <x:c r="D66" s="30" t="str">
        <x:v>TRANSFEROR</x:v>
      </x:c>
      <x:c r="E66" s="30" t="str">
        <x:v>TRANSFEROR</x:v>
      </x:c>
      <x:c r="F66" s="73"/>
      <x:c r="G66" s="73" t="str">
        <x:v>NOT_APPLICABLE</x:v>
      </x:c>
      <x:c r="H66" s="76"/>
      <x:c r="I66" s="76" t="str">
        <x:v>NOT_APPLICABLE</x:v>
      </x:c>
      <x:c r="J66" s="30" t="str">
        <x:v>DISCLOSED</x:v>
      </x:c>
      <x:c r="K66" s="30" t="str">
        <x:v>EVD-688726-0010</x:v>
      </x:c>
      <x:c r="L66" s="30" t="str">
        <x:v>FINAL_APPROVED</x:v>
      </x:c>
    </x:row>
    <x:row r="67">
      <x:c r="A67" s="30" t="str">
        <x:v>TRX-688726-0020</x:v>
      </x:c>
      <x:c r="B67" s="30" t="str">
        <x:v>TP-688726-0063</x:v>
      </x:c>
      <x:c r="C67" s="30" t="str">
        <x:v>STD-688726-028</x:v>
      </x:c>
      <x:c r="D67" s="30" t="str">
        <x:v>TRANSFEREE</x:v>
      </x:c>
      <x:c r="E67" s="30" t="str">
        <x:v>TRANSFEREE</x:v>
      </x:c>
      <x:c r="F67" s="73" t="n">
        <x:v>1500</x:v>
      </x:c>
      <x:c r="G67" s="73" t="str">
        <x:v>DISCLOSED_COMPLETE</x:v>
      </x:c>
      <x:c r="H67" s="76" t="n">
        <x:v>0.0066</x:v>
      </x:c>
      <x:c r="I67" s="76" t="str">
        <x:v>DISCLOSED_COMPLETE</x:v>
      </x:c>
      <x:c r="J67" s="30" t="str">
        <x:v>DISCLOSED</x:v>
      </x:c>
      <x:c r="K67" s="30" t="str">
        <x:v>EVD-688726-0010</x:v>
      </x:c>
      <x:c r="L67" s="30" t="str">
        <x:v>FINAL_APPROVED</x:v>
      </x:c>
    </x:row>
    <x:row r="68">
      <x:c r="A68" s="30" t="str">
        <x:v>TRX-688726-0021</x:v>
      </x:c>
      <x:c r="B68" s="30" t="str">
        <x:v>TP-688726-0064</x:v>
      </x:c>
      <x:c r="C68" s="30" t="str">
        <x:v>STD-688726-003</x:v>
      </x:c>
      <x:c r="D68" s="30" t="str">
        <x:v>TRANSFEROR</x:v>
      </x:c>
      <x:c r="E68" s="30" t="str">
        <x:v>TRANSFEROR</x:v>
      </x:c>
      <x:c r="F68" s="73"/>
      <x:c r="G68" s="73" t="str">
        <x:v>NOT_APPLICABLE</x:v>
      </x:c>
      <x:c r="H68" s="76"/>
      <x:c r="I68" s="76" t="str">
        <x:v>NOT_APPLICABLE</x:v>
      </x:c>
      <x:c r="J68" s="30" t="str">
        <x:v>DISCLOSED</x:v>
      </x:c>
      <x:c r="K68" s="30" t="str">
        <x:v>EVD-688726-0010</x:v>
      </x:c>
      <x:c r="L68" s="30" t="str">
        <x:v>FINAL_APPROVED</x:v>
      </x:c>
    </x:row>
    <x:row r="69">
      <x:c r="A69" s="30" t="str">
        <x:v>TRX-688726-0021</x:v>
      </x:c>
      <x:c r="B69" s="30" t="str">
        <x:v>TP-688726-0065</x:v>
      </x:c>
      <x:c r="C69" s="30" t="str">
        <x:v>STD-688726-004</x:v>
      </x:c>
      <x:c r="D69" s="30" t="str">
        <x:v>TRANSFEREE</x:v>
      </x:c>
      <x:c r="E69" s="30" t="str">
        <x:v>TRANSFEREE</x:v>
      </x:c>
      <x:c r="F69" s="73" t="n">
        <x:v>3200</x:v>
      </x:c>
      <x:c r="G69" s="73" t="str">
        <x:v>DISCLOSED_COMPLETE</x:v>
      </x:c>
      <x:c r="H69" s="76" t="n">
        <x:v>0.0142</x:v>
      </x:c>
      <x:c r="I69" s="76" t="str">
        <x:v>DISCLOSED_COMPLETE</x:v>
      </x:c>
      <x:c r="J69" s="30" t="str">
        <x:v>DISCLOSED</x:v>
      </x:c>
      <x:c r="K69" s="30" t="str">
        <x:v>EVD-688726-0010</x:v>
      </x:c>
      <x:c r="L69" s="30" t="str">
        <x:v>FINAL_APPROVED</x:v>
      </x:c>
    </x:row>
    <x:row r="70">
      <x:c r="A70" s="30" t="str">
        <x:v>TRX-688726-0022</x:v>
      </x:c>
      <x:c r="B70" s="30" t="str">
        <x:v>TP-688726-0066</x:v>
      </x:c>
      <x:c r="C70" s="30" t="str">
        <x:v>STD-688726-030</x:v>
      </x:c>
      <x:c r="D70" s="30" t="str">
        <x:v>TRANSFEROR</x:v>
      </x:c>
      <x:c r="E70" s="30" t="str">
        <x:v>TRANSFEROR</x:v>
      </x:c>
      <x:c r="F70" s="73"/>
      <x:c r="G70" s="73" t="str">
        <x:v>NOT_APPLICABLE</x:v>
      </x:c>
      <x:c r="H70" s="76"/>
      <x:c r="I70" s="76" t="str">
        <x:v>NOT_APPLICABLE</x:v>
      </x:c>
      <x:c r="J70" s="30" t="str">
        <x:v>DISCLOSED</x:v>
      </x:c>
      <x:c r="K70" s="30" t="str">
        <x:v>EVD-688726-0010</x:v>
      </x:c>
      <x:c r="L70" s="30" t="str">
        <x:v>FINAL_APPROVED</x:v>
      </x:c>
    </x:row>
    <x:row r="71">
      <x:c r="A71" s="30" t="str">
        <x:v>TRX-688726-0022</x:v>
      </x:c>
      <x:c r="B71" s="30" t="str">
        <x:v>TP-688726-0067</x:v>
      </x:c>
      <x:c r="C71" s="30" t="str">
        <x:v>STD-688726-004</x:v>
      </x:c>
      <x:c r="D71" s="30" t="str">
        <x:v>TRANSFEREE</x:v>
      </x:c>
      <x:c r="E71" s="30" t="str">
        <x:v>TRANSFEREE</x:v>
      </x:c>
      <x:c r="F71" s="73" t="n">
        <x:v>3300</x:v>
      </x:c>
      <x:c r="G71" s="73" t="str">
        <x:v>DISCLOSED_COMPLETE</x:v>
      </x:c>
      <x:c r="H71" s="76" t="n">
        <x:v>0.0146</x:v>
      </x:c>
      <x:c r="I71" s="76" t="str">
        <x:v>DISCLOSED_COMPLETE</x:v>
      </x:c>
      <x:c r="J71" s="30" t="str">
        <x:v>DISCLOSED</x:v>
      </x:c>
      <x:c r="K71" s="30" t="str">
        <x:v>EVD-688726-0010</x:v>
      </x:c>
      <x:c r="L71" s="30" t="str">
        <x:v>FINAL_APPROVED</x:v>
      </x:c>
    </x:row>
    <x:row r="72">
      <x:c r="A72" s="30" t="str">
        <x:v>TRX-688726-0023</x:v>
      </x:c>
      <x:c r="B72" s="30" t="str">
        <x:v>TP-688726-0068</x:v>
      </x:c>
      <x:c r="C72" s="30" t="str">
        <x:v>STD-688726-068</x:v>
      </x:c>
      <x:c r="D72" s="30" t="str">
        <x:v>TRANSFEROR</x:v>
      </x:c>
      <x:c r="E72" s="30" t="str">
        <x:v>TRANSFEROR</x:v>
      </x:c>
      <x:c r="F72" s="73"/>
      <x:c r="G72" s="73" t="str">
        <x:v>NOT_APPLICABLE</x:v>
      </x:c>
      <x:c r="H72" s="76"/>
      <x:c r="I72" s="76" t="str">
        <x:v>NOT_APPLICABLE</x:v>
      </x:c>
      <x:c r="J72" s="30" t="str">
        <x:v>DISCLOSED</x:v>
      </x:c>
      <x:c r="K72" s="30" t="str">
        <x:v>EVD-688726-0011</x:v>
      </x:c>
      <x:c r="L72" s="30" t="str">
        <x:v>FINAL_APPROVED</x:v>
      </x:c>
    </x:row>
    <x:row r="73">
      <x:c r="A73" s="30" t="str">
        <x:v>TRX-688726-0023</x:v>
      </x:c>
      <x:c r="B73" s="30" t="str">
        <x:v>TP-688726-0069</x:v>
      </x:c>
      <x:c r="C73" s="30" t="str">
        <x:v>STD-688726-051</x:v>
      </x:c>
      <x:c r="D73" s="30" t="str">
        <x:v>TRANSFEREE</x:v>
      </x:c>
      <x:c r="E73" s="30" t="str">
        <x:v>TRANSFEREE</x:v>
      </x:c>
      <x:c r="F73" s="73" t="n">
        <x:v>1000</x:v>
      </x:c>
      <x:c r="G73" s="73" t="str">
        <x:v>DISCLOSED_COMPLETE</x:v>
      </x:c>
      <x:c r="H73" s="76" t="n">
        <x:v>0.0044</x:v>
      </x:c>
      <x:c r="I73" s="76" t="str">
        <x:v>DISCLOSED_COMPLETE</x:v>
      </x:c>
      <x:c r="J73" s="30" t="str">
        <x:v>DISCLOSED</x:v>
      </x:c>
      <x:c r="K73" s="30" t="str">
        <x:v>EVD-688726-0011</x:v>
      </x:c>
      <x:c r="L73" s="30" t="str">
        <x:v>FINAL_APPROVED</x:v>
      </x:c>
    </x:row>
    <x:row r="74">
      <x:c r="A74" s="30" t="str">
        <x:v>TRX-688726-0024</x:v>
      </x:c>
      <x:c r="B74" s="30" t="str">
        <x:v>TP-688726-0070</x:v>
      </x:c>
      <x:c r="C74" s="30" t="str">
        <x:v>STD-688726-068</x:v>
      </x:c>
      <x:c r="D74" s="30" t="str">
        <x:v>TRANSFEROR</x:v>
      </x:c>
      <x:c r="E74" s="30" t="str">
        <x:v>TRANSFEROR</x:v>
      </x:c>
      <x:c r="F74" s="73"/>
      <x:c r="G74" s="73" t="str">
        <x:v>NOT_APPLICABLE</x:v>
      </x:c>
      <x:c r="H74" s="76"/>
      <x:c r="I74" s="76" t="str">
        <x:v>NOT_APPLICABLE</x:v>
      </x:c>
      <x:c r="J74" s="30" t="str">
        <x:v>DISCLOSED</x:v>
      </x:c>
      <x:c r="K74" s="30" t="str">
        <x:v>EVD-688726-0011</x:v>
      </x:c>
      <x:c r="L74" s="30" t="str">
        <x:v>FINAL_APPROVED</x:v>
      </x:c>
    </x:row>
    <x:row r="75">
      <x:c r="A75" s="30" t="str">
        <x:v>TRX-688726-0024</x:v>
      </x:c>
      <x:c r="B75" s="30" t="str">
        <x:v>TP-688726-0071</x:v>
      </x:c>
      <x:c r="C75" s="30" t="str">
        <x:v>STD-688726-069</x:v>
      </x:c>
      <x:c r="D75" s="30" t="str">
        <x:v>TRANSFEREE</x:v>
      </x:c>
      <x:c r="E75" s="30" t="str">
        <x:v>TRANSFEREE</x:v>
      </x:c>
      <x:c r="F75" s="73" t="n">
        <x:v>1300</x:v>
      </x:c>
      <x:c r="G75" s="73" t="str">
        <x:v>DISCLOSED_COMPLETE</x:v>
      </x:c>
      <x:c r="H75" s="76" t="n">
        <x:v>0.0058</x:v>
      </x:c>
      <x:c r="I75" s="76" t="str">
        <x:v>DISCLOSED_COMPLETE</x:v>
      </x:c>
      <x:c r="J75" s="30" t="str">
        <x:v>DISCLOSED</x:v>
      </x:c>
      <x:c r="K75" s="30" t="str">
        <x:v>EVD-688726-0011</x:v>
      </x:c>
      <x:c r="L75" s="30" t="str">
        <x:v>FINAL_APPROVED</x:v>
      </x:c>
    </x:row>
    <x:row r="76">
      <x:c r="A76" s="30" t="str">
        <x:v>TRX-688726-0025</x:v>
      </x:c>
      <x:c r="B76" s="30" t="str">
        <x:v>TP-688726-0072</x:v>
      </x:c>
      <x:c r="C76" s="30" t="str">
        <x:v>STD-688726-064</x:v>
      </x:c>
      <x:c r="D76" s="30" t="str">
        <x:v>TRANSFEROR</x:v>
      </x:c>
      <x:c r="E76" s="30" t="str">
        <x:v>TRANSFEROR</x:v>
      </x:c>
      <x:c r="F76" s="73"/>
      <x:c r="G76" s="73" t="str">
        <x:v>NOT_APPLICABLE</x:v>
      </x:c>
      <x:c r="H76" s="76"/>
      <x:c r="I76" s="76" t="str">
        <x:v>NOT_APPLICABLE</x:v>
      </x:c>
      <x:c r="J76" s="30" t="str">
        <x:v>DISCLOSED</x:v>
      </x:c>
      <x:c r="K76" s="30" t="str">
        <x:v>EVD-688726-0012</x:v>
      </x:c>
      <x:c r="L76" s="30" t="str">
        <x:v>FINAL_APPROVED</x:v>
      </x:c>
    </x:row>
    <x:row r="77">
      <x:c r="A77" s="30" t="str">
        <x:v>TRX-688726-0025</x:v>
      </x:c>
      <x:c r="B77" s="30" t="str">
        <x:v>TP-688726-0073</x:v>
      </x:c>
      <x:c r="C77" s="30" t="str">
        <x:v>STD-688726-062</x:v>
      </x:c>
      <x:c r="D77" s="30" t="str">
        <x:v>TRANSFEREE</x:v>
      </x:c>
      <x:c r="E77" s="30" t="str">
        <x:v>TRANSFEREE</x:v>
      </x:c>
      <x:c r="F77" s="73" t="n">
        <x:v>105</x:v>
      </x:c>
      <x:c r="G77" s="73" t="str">
        <x:v>DISCLOSED_COMPLETE</x:v>
      </x:c>
      <x:c r="H77" s="76" t="n">
        <x:v>0.0025</x:v>
      </x:c>
      <x:c r="I77" s="76" t="str">
        <x:v>DISCLOSED_COMPLETE</x:v>
      </x:c>
      <x:c r="J77" s="30" t="str">
        <x:v>DISCLOSED</x:v>
      </x:c>
      <x:c r="K77" s="30" t="str">
        <x:v>EVD-688726-0012</x:v>
      </x:c>
      <x:c r="L77" s="30" t="str">
        <x:v>FINAL_APPROVED</x:v>
      </x:c>
    </x:row>
    <x:row r="78">
      <x:c r="A78" s="30" t="str">
        <x:v>TRX-688726-0026</x:v>
      </x:c>
      <x:c r="B78" s="30" t="str">
        <x:v>TP-688726-0074</x:v>
      </x:c>
      <x:c r="C78" s="30" t="str">
        <x:v>STD-688726-064</x:v>
      </x:c>
      <x:c r="D78" s="30" t="str">
        <x:v>TRANSFEROR</x:v>
      </x:c>
      <x:c r="E78" s="30" t="str">
        <x:v>TRANSFEROR</x:v>
      </x:c>
      <x:c r="F78" s="73"/>
      <x:c r="G78" s="73" t="str">
        <x:v>NOT_APPLICABLE</x:v>
      </x:c>
      <x:c r="H78" s="76"/>
      <x:c r="I78" s="76" t="str">
        <x:v>NOT_APPLICABLE</x:v>
      </x:c>
      <x:c r="J78" s="30" t="str">
        <x:v>DISCLOSED</x:v>
      </x:c>
      <x:c r="K78" s="30" t="str">
        <x:v>EVD-688726-0012</x:v>
      </x:c>
      <x:c r="L78" s="30" t="str">
        <x:v>FINAL_APPROVED</x:v>
      </x:c>
    </x:row>
    <x:row r="79">
      <x:c r="A79" s="30" t="str">
        <x:v>TRX-688726-0026</x:v>
      </x:c>
      <x:c r="B79" s="30" t="str">
        <x:v>TP-688726-0075</x:v>
      </x:c>
      <x:c r="C79" s="30" t="str">
        <x:v>STD-688726-029</x:v>
      </x:c>
      <x:c r="D79" s="30" t="str">
        <x:v>TRANSFEREE</x:v>
      </x:c>
      <x:c r="E79" s="30" t="str">
        <x:v>TRANSFEREE</x:v>
      </x:c>
      <x:c r="F79" s="73" t="n">
        <x:v>105</x:v>
      </x:c>
      <x:c r="G79" s="73" t="str">
        <x:v>DISCLOSED_COMPLETE</x:v>
      </x:c>
      <x:c r="H79" s="76" t="n">
        <x:v>0.0025</x:v>
      </x:c>
      <x:c r="I79" s="76" t="str">
        <x:v>DISCLOSED_COMPLETE</x:v>
      </x:c>
      <x:c r="J79" s="30" t="str">
        <x:v>DISCLOSED</x:v>
      </x:c>
      <x:c r="K79" s="30" t="str">
        <x:v>EVD-688726-0012</x:v>
      </x:c>
      <x:c r="L79" s="30" t="str">
        <x:v>FINAL_APPROVED</x:v>
      </x:c>
    </x:row>
    <x:row r="80">
      <x:c r="A80" s="30" t="str">
        <x:v>TRX-688726-0027</x:v>
      </x:c>
      <x:c r="B80" s="30" t="str">
        <x:v>TP-688726-0076</x:v>
      </x:c>
      <x:c r="C80" s="30" t="str">
        <x:v>STD-688726-064</x:v>
      </x:c>
      <x:c r="D80" s="30" t="str">
        <x:v>TRANSFEROR</x:v>
      </x:c>
      <x:c r="E80" s="30" t="str">
        <x:v>TRANSFEROR</x:v>
      </x:c>
      <x:c r="F80" s="73"/>
      <x:c r="G80" s="73" t="str">
        <x:v>NOT_APPLICABLE</x:v>
      </x:c>
      <x:c r="H80" s="76"/>
      <x:c r="I80" s="76" t="str">
        <x:v>NOT_APPLICABLE</x:v>
      </x:c>
      <x:c r="J80" s="30" t="str">
        <x:v>DISCLOSED</x:v>
      </x:c>
      <x:c r="K80" s="30" t="str">
        <x:v>EVD-688726-0012</x:v>
      </x:c>
      <x:c r="L80" s="30" t="str">
        <x:v>FINAL_APPROVED</x:v>
      </x:c>
    </x:row>
    <x:row r="81">
      <x:c r="A81" s="30" t="str">
        <x:v>TRX-688726-0027</x:v>
      </x:c>
      <x:c r="B81" s="30" t="str">
        <x:v>TP-688726-0077</x:v>
      </x:c>
      <x:c r="C81" s="30" t="str">
        <x:v>STD-688726-027</x:v>
      </x:c>
      <x:c r="D81" s="30" t="str">
        <x:v>TRANSFEREE</x:v>
      </x:c>
      <x:c r="E81" s="30" t="str">
        <x:v>TRANSFEREE</x:v>
      </x:c>
      <x:c r="F81" s="73" t="n">
        <x:v>105</x:v>
      </x:c>
      <x:c r="G81" s="73" t="str">
        <x:v>DISCLOSED_COMPLETE</x:v>
      </x:c>
      <x:c r="H81" s="76" t="n">
        <x:v>0.0025</x:v>
      </x:c>
      <x:c r="I81" s="76" t="str">
        <x:v>DISCLOSED_COMPLETE</x:v>
      </x:c>
      <x:c r="J81" s="30" t="str">
        <x:v>DISCLOSED</x:v>
      </x:c>
      <x:c r="K81" s="30" t="str">
        <x:v>EVD-688726-0012</x:v>
      </x:c>
      <x:c r="L81" s="30" t="str">
        <x:v>FINAL_APPROVED</x:v>
      </x:c>
    </x:row>
    <x:row r="82">
      <x:c r="A82" s="30" t="str">
        <x:v>TRX-688726-0028</x:v>
      </x:c>
      <x:c r="B82" s="30" t="str">
        <x:v>TP-688726-0078</x:v>
      </x:c>
      <x:c r="C82" s="30" t="str">
        <x:v>STD-688726-064</x:v>
      </x:c>
      <x:c r="D82" s="30" t="str">
        <x:v>TRANSFEROR</x:v>
      </x:c>
      <x:c r="E82" s="30" t="str">
        <x:v>TRANSFEROR</x:v>
      </x:c>
      <x:c r="F82" s="73"/>
      <x:c r="G82" s="73" t="str">
        <x:v>NOT_APPLICABLE</x:v>
      </x:c>
      <x:c r="H82" s="76"/>
      <x:c r="I82" s="76" t="str">
        <x:v>NOT_APPLICABLE</x:v>
      </x:c>
      <x:c r="J82" s="30" t="str">
        <x:v>DISCLOSED</x:v>
      </x:c>
      <x:c r="K82" s="30" t="str">
        <x:v>EVD-688726-0012</x:v>
      </x:c>
      <x:c r="L82" s="30" t="str">
        <x:v>FINAL_APPROVED</x:v>
      </x:c>
    </x:row>
    <x:row r="83">
      <x:c r="A83" s="30" t="str">
        <x:v>TRX-688726-0028</x:v>
      </x:c>
      <x:c r="B83" s="30" t="str">
        <x:v>TP-688726-0079</x:v>
      </x:c>
      <x:c r="C83" s="30" t="str">
        <x:v>STD-688726-063</x:v>
      </x:c>
      <x:c r="D83" s="30" t="str">
        <x:v>TRANSFEREE</x:v>
      </x:c>
      <x:c r="E83" s="30" t="str">
        <x:v>TRANSFEREE</x:v>
      </x:c>
      <x:c r="F83" s="73" t="n">
        <x:v>90</x:v>
      </x:c>
      <x:c r="G83" s="73" t="str">
        <x:v>DISCLOSED_COMPLETE</x:v>
      </x:c>
      <x:c r="H83" s="76" t="n">
        <x:v>0.0021</x:v>
      </x:c>
      <x:c r="I83" s="76" t="str">
        <x:v>DISCLOSED_COMPLETE</x:v>
      </x:c>
      <x:c r="J83" s="30" t="str">
        <x:v>DISCLOSED</x:v>
      </x:c>
      <x:c r="K83" s="30" t="str">
        <x:v>EVD-688726-0012</x:v>
      </x:c>
      <x:c r="L83" s="30" t="str">
        <x:v>FINAL_APPROVED</x:v>
      </x:c>
    </x:row>
    <x:row r="84">
      <x:c r="A84" s="30" t="str">
        <x:v>TRX-688726-0029</x:v>
      </x:c>
      <x:c r="B84" s="30" t="str">
        <x:v>TP-688726-0080</x:v>
      </x:c>
      <x:c r="C84" s="30" t="str">
        <x:v>STD-688726-064</x:v>
      </x:c>
      <x:c r="D84" s="30" t="str">
        <x:v>TRANSFEROR</x:v>
      </x:c>
      <x:c r="E84" s="30" t="str">
        <x:v>TRANSFEROR</x:v>
      </x:c>
      <x:c r="F84" s="73"/>
      <x:c r="G84" s="73" t="str">
        <x:v>NOT_APPLICABLE</x:v>
      </x:c>
      <x:c r="H84" s="76"/>
      <x:c r="I84" s="76" t="str">
        <x:v>NOT_APPLICABLE</x:v>
      </x:c>
      <x:c r="J84" s="30" t="str">
        <x:v>DISCLOSED</x:v>
      </x:c>
      <x:c r="K84" s="30" t="str">
        <x:v>EVD-688726-0012</x:v>
      </x:c>
      <x:c r="L84" s="30" t="str">
        <x:v>FINAL_APPROVED</x:v>
      </x:c>
    </x:row>
    <x:row r="85">
      <x:c r="A85" s="30" t="str">
        <x:v>TRX-688726-0029</x:v>
      </x:c>
      <x:c r="B85" s="30" t="str">
        <x:v>TP-688726-0081</x:v>
      </x:c>
      <x:c r="C85" s="30" t="str">
        <x:v>STD-688726-047</x:v>
      </x:c>
      <x:c r="D85" s="30" t="str">
        <x:v>TRANSFEREE</x:v>
      </x:c>
      <x:c r="E85" s="30" t="str">
        <x:v>TRANSFEREE</x:v>
      </x:c>
      <x:c r="F85" s="73" t="n">
        <x:v>315</x:v>
      </x:c>
      <x:c r="G85" s="73" t="str">
        <x:v>DISCLOSED_COMPLETE</x:v>
      </x:c>
      <x:c r="H85" s="76" t="n">
        <x:v>0.0074</x:v>
      </x:c>
      <x:c r="I85" s="76" t="str">
        <x:v>DISCLOSED_COMPLETE</x:v>
      </x:c>
      <x:c r="J85" s="30" t="str">
        <x:v>DISCLOSED</x:v>
      </x:c>
      <x:c r="K85" s="30" t="str">
        <x:v>EVD-688726-0012</x:v>
      </x:c>
      <x:c r="L85" s="30" t="str">
        <x:v>FINAL_APPROVED</x:v>
      </x:c>
    </x:row>
    <x:row r="86">
      <x:c r="A86" s="30" t="str">
        <x:v>TRX-688726-0030</x:v>
      </x:c>
      <x:c r="B86" s="30" t="str">
        <x:v>TP-688726-0082</x:v>
      </x:c>
      <x:c r="C86" s="30" t="str">
        <x:v>STD-688726-059</x:v>
      </x:c>
      <x:c r="D86" s="30" t="str">
        <x:v>TRANSFEROR</x:v>
      </x:c>
      <x:c r="E86" s="30" t="str">
        <x:v>TRANSFEROR</x:v>
      </x:c>
      <x:c r="F86" s="73"/>
      <x:c r="G86" s="73" t="str">
        <x:v>NOT_APPLICABLE</x:v>
      </x:c>
      <x:c r="H86" s="76"/>
      <x:c r="I86" s="76" t="str">
        <x:v>NOT_APPLICABLE</x:v>
      </x:c>
      <x:c r="J86" s="30" t="str">
        <x:v>DISCLOSED</x:v>
      </x:c>
      <x:c r="K86" s="30" t="str">
        <x:v>EVD-688726-0012</x:v>
      </x:c>
      <x:c r="L86" s="30" t="str">
        <x:v>FINAL_APPROVED</x:v>
      </x:c>
    </x:row>
    <x:row r="87">
      <x:c r="A87" s="30" t="str">
        <x:v>TRX-688726-0030</x:v>
      </x:c>
      <x:c r="B87" s="30" t="str">
        <x:v>TP-688726-0083</x:v>
      </x:c>
      <x:c r="C87" s="30" t="str">
        <x:v>STD-688726-005</x:v>
      </x:c>
      <x:c r="D87" s="30" t="str">
        <x:v>TRANSFEREE</x:v>
      </x:c>
      <x:c r="E87" s="30" t="str">
        <x:v>TRANSFEREE</x:v>
      </x:c>
      <x:c r="F87" s="73" t="n">
        <x:v>432</x:v>
      </x:c>
      <x:c r="G87" s="73" t="str">
        <x:v>DISCLOSED_COMPLETE</x:v>
      </x:c>
      <x:c r="H87" s="76" t="n">
        <x:v>0.0101</x:v>
      </x:c>
      <x:c r="I87" s="76" t="str">
        <x:v>DISCLOSED_COMPLETE</x:v>
      </x:c>
      <x:c r="J87" s="30" t="str">
        <x:v>DISCLOSED</x:v>
      </x:c>
      <x:c r="K87" s="30" t="str">
        <x:v>EVD-688726-0012</x:v>
      </x:c>
      <x:c r="L87" s="30" t="str">
        <x:v>FINAL_APPROVED</x:v>
      </x:c>
    </x:row>
    <x:row r="88">
      <x:c r="A88" s="30" t="str">
        <x:v>TRX-688726-0031</x:v>
      </x:c>
      <x:c r="B88" s="30" t="str">
        <x:v>TP-688726-0084</x:v>
      </x:c>
      <x:c r="C88" s="30" t="str">
        <x:v>STD-688726-034</x:v>
      </x:c>
      <x:c r="D88" s="30" t="str">
        <x:v>INVESTOR</x:v>
      </x:c>
      <x:c r="E88" s="30" t="str">
        <x:v>INVESTOR</x:v>
      </x:c>
      <x:c r="F88" s="73" t="n">
        <x:v>1000</x:v>
      </x:c>
      <x:c r="G88" s="73" t="str">
        <x:v>DISCLOSED_COMPLETE</x:v>
      </x:c>
      <x:c r="H88" s="76" t="n">
        <x:v>0.004405289828531271</x:v>
      </x:c>
      <x:c r="I88" s="76" t="str">
        <x:v>DISCLOSED_COMPLETE</x:v>
      </x:c>
      <x:c r="J88" s="30" t="str">
        <x:v>DISCLOSED</x:v>
      </x:c>
      <x:c r="K88" s="30" t="str">
        <x:v>EVD-688726-0012</x:v>
      </x:c>
      <x:c r="L88" s="30" t="str">
        <x:v>FINAL_APPROVED</x:v>
      </x:c>
    </x:row>
    <x:row r="89">
      <x:c r="A89" s="30" t="str">
        <x:v>TRX-688726-0032</x:v>
      </x:c>
      <x:c r="B89" s="30" t="str">
        <x:v>TP-688726-0085</x:v>
      </x:c>
      <x:c r="C89" s="30" t="str">
        <x:v>STD-688726-032</x:v>
      </x:c>
      <x:c r="D89" s="30" t="str">
        <x:v>INVESTOR</x:v>
      </x:c>
      <x:c r="E89" s="30" t="str">
        <x:v>INVESTOR</x:v>
      </x:c>
      <x:c r="F89" s="73" t="n">
        <x:v>5100</x:v>
      </x:c>
      <x:c r="G89" s="73" t="str">
        <x:v>DISCLOSED_COMPLETE</x:v>
      </x:c>
      <x:c r="H89" s="76" t="n">
        <x:v>0.009968723684694201</x:v>
      </x:c>
      <x:c r="I89" s="76" t="str">
        <x:v>DISCLOSED_COMPLETE</x:v>
      </x:c>
      <x:c r="J89" s="30" t="str">
        <x:v>DISCLOSED</x:v>
      </x:c>
      <x:c r="K89" s="30" t="str">
        <x:v>EVD-688726-0013</x:v>
      </x:c>
      <x:c r="L89" s="30" t="str">
        <x:v>FINAL_APPROVED</x:v>
      </x:c>
    </x:row>
    <x:row r="90">
      <x:c r="A90" s="30" t="str">
        <x:v>TRX-688726-0032</x:v>
      </x:c>
      <x:c r="B90" s="30" t="str">
        <x:v>TP-688726-0086</x:v>
      </x:c>
      <x:c r="C90" s="30" t="str">
        <x:v>STD-688726-071</x:v>
      </x:c>
      <x:c r="D90" s="30" t="str">
        <x:v>INVESTOR</x:v>
      </x:c>
      <x:c r="E90" s="30" t="str">
        <x:v>INVESTOR</x:v>
      </x:c>
      <x:c r="F90" s="73" t="n">
        <x:v>3800</x:v>
      </x:c>
      <x:c r="G90" s="73" t="str">
        <x:v>DISCLOSED_COMPLETE</x:v>
      </x:c>
      <x:c r="H90" s="76" t="n">
        <x:v>0.007427694386843578</x:v>
      </x:c>
      <x:c r="I90" s="76" t="str">
        <x:v>DISCLOSED_COMPLETE</x:v>
      </x:c>
      <x:c r="J90" s="30" t="str">
        <x:v>DISCLOSED</x:v>
      </x:c>
      <x:c r="K90" s="30" t="str">
        <x:v>EVD-688726-0013</x:v>
      </x:c>
      <x:c r="L90" s="30" t="str">
        <x:v>FINAL_APPROVED</x:v>
      </x:c>
    </x:row>
    <x:row r="91">
      <x:c r="A91" s="30" t="str">
        <x:v>TRX-688726-0032</x:v>
      </x:c>
      <x:c r="B91" s="30" t="str">
        <x:v>TP-688726-0087</x:v>
      </x:c>
      <x:c r="C91" s="30" t="str">
        <x:v>STD-688726-076</x:v>
      </x:c>
      <x:c r="D91" s="30" t="str">
        <x:v>INVESTOR</x:v>
      </x:c>
      <x:c r="E91" s="30" t="str">
        <x:v>INVESTOR</x:v>
      </x:c>
      <x:c r="F91" s="73" t="n">
        <x:v>1500</x:v>
      </x:c>
      <x:c r="G91" s="73" t="str">
        <x:v>DISCLOSED_COMPLETE</x:v>
      </x:c>
      <x:c r="H91" s="76" t="n">
        <x:v>0.0029319568821353334</x:v>
      </x:c>
      <x:c r="I91" s="76" t="str">
        <x:v>DISCLOSED_COMPLETE</x:v>
      </x:c>
      <x:c r="J91" s="30" t="str">
        <x:v>DISCLOSED</x:v>
      </x:c>
      <x:c r="K91" s="30" t="str">
        <x:v>EVD-688726-0013</x:v>
      </x:c>
      <x:c r="L91" s="30" t="str">
        <x:v>FINAL_APPROVED</x:v>
      </x:c>
    </x:row>
    <x:row r="92">
      <x:c r="A92" s="30" t="str">
        <x:v>TRX-688726-0032</x:v>
      </x:c>
      <x:c r="B92" s="30" t="str">
        <x:v>TP-688726-0088</x:v>
      </x:c>
      <x:c r="C92" s="30" t="str">
        <x:v>STD-688726-075</x:v>
      </x:c>
      <x:c r="D92" s="30" t="str">
        <x:v>INVESTOR</x:v>
      </x:c>
      <x:c r="E92" s="30" t="str">
        <x:v>INVESTOR</x:v>
      </x:c>
      <x:c r="F92" s="73" t="n">
        <x:v>1200</x:v>
      </x:c>
      <x:c r="G92" s="73" t="str">
        <x:v>DISCLOSED_COMPLETE</x:v>
      </x:c>
      <x:c r="H92" s="76" t="n">
        <x:v>0.002345565505708267</x:v>
      </x:c>
      <x:c r="I92" s="76" t="str">
        <x:v>DISCLOSED_COMPLETE</x:v>
      </x:c>
      <x:c r="J92" s="30" t="str">
        <x:v>DISCLOSED</x:v>
      </x:c>
      <x:c r="K92" s="30" t="str">
        <x:v>EVD-688726-0013</x:v>
      </x:c>
      <x:c r="L92" s="30" t="str">
        <x:v>FINAL_APPROVED</x:v>
      </x:c>
    </x:row>
    <x:row r="93">
      <x:c r="A93" s="30" t="str">
        <x:v>TRX-688726-0033</x:v>
      </x:c>
      <x:c r="B93" s="30" t="str">
        <x:v>TP-688726-0089</x:v>
      </x:c>
      <x:c r="C93" s="30" t="str">
        <x:v>STD-688726-015</x:v>
      </x:c>
      <x:c r="D93" s="30" t="str">
        <x:v>INVESTOR</x:v>
      </x:c>
      <x:c r="E93" s="30" t="str">
        <x:v>INVESTOR</x:v>
      </x:c>
      <x:c r="F93" s="73" t="n">
        <x:v>8000</x:v>
      </x:c>
      <x:c r="G93" s="73" t="str">
        <x:v>DISCLOSED_COMPLETE</x:v>
      </x:c>
      <x:c r="H93" s="76" t="n">
        <x:v>0.015165902493285222</x:v>
      </x:c>
      <x:c r="I93" s="76" t="str">
        <x:v>DISCLOSED_COMPLETE</x:v>
      </x:c>
      <x:c r="J93" s="30" t="str">
        <x:v>DISCLOSED</x:v>
      </x:c>
      <x:c r="K93" s="30" t="str">
        <x:v>EVD-688726-0014</x:v>
      </x:c>
      <x:c r="L93" s="30" t="str">
        <x:v>FINAL_APPROVED</x:v>
      </x:c>
    </x:row>
    <x:row r="94">
      <x:c r="A94" s="30" t="str">
        <x:v>TRX-688726-0033</x:v>
      </x:c>
      <x:c r="B94" s="30" t="str">
        <x:v>TP-688726-0090</x:v>
      </x:c>
      <x:c r="C94" s="30" t="str">
        <x:v>STD-688726-049</x:v>
      </x:c>
      <x:c r="D94" s="30" t="str">
        <x:v>INVESTOR</x:v>
      </x:c>
      <x:c r="E94" s="30" t="str">
        <x:v>INVESTOR</x:v>
      </x:c>
      <x:c r="F94" s="73" t="n">
        <x:v>2900</x:v>
      </x:c>
      <x:c r="G94" s="73" t="str">
        <x:v>DISCLOSED_COMPLETE</x:v>
      </x:c>
      <x:c r="H94" s="76" t="n">
        <x:v>0.005497658399706282</x:v>
      </x:c>
      <x:c r="I94" s="76" t="str">
        <x:v>DISCLOSED_COMPLETE</x:v>
      </x:c>
      <x:c r="J94" s="30" t="str">
        <x:v>DISCLOSED</x:v>
      </x:c>
      <x:c r="K94" s="30" t="str">
        <x:v>EVD-688726-0014</x:v>
      </x:c>
      <x:c r="L94" s="30" t="str">
        <x:v>FINAL_APPROVED</x:v>
      </x:c>
    </x:row>
    <x:row r="95">
      <x:c r="A95" s="30" t="str">
        <x:v>TRX-688726-0033</x:v>
      </x:c>
      <x:c r="B95" s="30" t="str">
        <x:v>TP-688726-0091</x:v>
      </x:c>
      <x:c r="C95" s="30" t="str">
        <x:v>STD-688726-048</x:v>
      </x:c>
      <x:c r="D95" s="30" t="str">
        <x:v>INVESTOR</x:v>
      </x:c>
      <x:c r="E95" s="30" t="str">
        <x:v>INVESTOR</x:v>
      </x:c>
      <x:c r="F95" s="73" t="n">
        <x:v>5000</x:v>
      </x:c>
      <x:c r="G95" s="73" t="str">
        <x:v>DISCLOSED_COMPLETE</x:v>
      </x:c>
      <x:c r="H95" s="76" t="n">
        <x:v>0.009478672016584727</x:v>
      </x:c>
      <x:c r="I95" s="76" t="str">
        <x:v>DISCLOSED_COMPLETE</x:v>
      </x:c>
      <x:c r="J95" s="30" t="str">
        <x:v>DISCLOSED</x:v>
      </x:c>
      <x:c r="K95" s="30" t="str">
        <x:v>EVD-688726-0014</x:v>
      </x:c>
      <x:c r="L95" s="30" t="str">
        <x:v>FINAL_APPROVED</x:v>
      </x:c>
    </x:row>
    <x:row r="96">
      <x:c r="A96" s="30" t="str">
        <x:v>TRX-688726-0034</x:v>
      </x:c>
      <x:c r="B96" s="30" t="str">
        <x:v>TP-688726-0092</x:v>
      </x:c>
      <x:c r="C96" s="30" t="str">
        <x:v>STD-688726-010</x:v>
      </x:c>
      <x:c r="D96" s="30" t="str">
        <x:v>TRANSFEROR</x:v>
      </x:c>
      <x:c r="E96" s="30" t="str">
        <x:v>TRANSFEROR</x:v>
      </x:c>
      <x:c r="F96" s="73"/>
      <x:c r="G96" s="73" t="str">
        <x:v>NOT_APPLICABLE</x:v>
      </x:c>
      <x:c r="H96" s="76"/>
      <x:c r="I96" s="76" t="str">
        <x:v>NOT_APPLICABLE</x:v>
      </x:c>
      <x:c r="J96" s="30" t="str">
        <x:v>DISCLOSED</x:v>
      </x:c>
      <x:c r="K96" s="30" t="str">
        <x:v>EVD-688726-0015</x:v>
      </x:c>
      <x:c r="L96" s="30" t="str">
        <x:v>FINAL_APPROVED</x:v>
      </x:c>
    </x:row>
    <x:row r="97">
      <x:c r="A97" s="30" t="str">
        <x:v>TRX-688726-0034</x:v>
      </x:c>
      <x:c r="B97" s="30" t="str">
        <x:v>TP-688726-0093</x:v>
      </x:c>
      <x:c r="C97" s="30" t="str">
        <x:v>STD-688726-001</x:v>
      </x:c>
      <x:c r="D97" s="30" t="str">
        <x:v>TRANSFEREE</x:v>
      </x:c>
      <x:c r="E97" s="30" t="str">
        <x:v>TRANSFEREE</x:v>
      </x:c>
      <x:c r="F97" s="73" t="n">
        <x:v>5000</x:v>
      </x:c>
      <x:c r="G97" s="73" t="str">
        <x:v>DISCLOSED_COMPLETE</x:v>
      </x:c>
      <x:c r="H97" s="76" t="n">
        <x:v>0.0095</x:v>
      </x:c>
      <x:c r="I97" s="76" t="str">
        <x:v>DISCLOSED_COMPLETE</x:v>
      </x:c>
      <x:c r="J97" s="30" t="str">
        <x:v>DISCLOSED</x:v>
      </x:c>
      <x:c r="K97" s="30" t="str">
        <x:v>EVD-688726-0015</x:v>
      </x:c>
      <x:c r="L97" s="30" t="str">
        <x:v>FINAL_APPROVED</x:v>
      </x:c>
    </x:row>
    <x:row r="98">
      <x:c r="A98" s="30" t="str">
        <x:v>TRX-688726-0035</x:v>
      </x:c>
      <x:c r="B98" s="30" t="str">
        <x:v>TP-688726-0094</x:v>
      </x:c>
      <x:c r="C98" s="30" t="str">
        <x:v>STD-688726-010</x:v>
      </x:c>
      <x:c r="D98" s="30" t="str">
        <x:v>TRANSFEROR</x:v>
      </x:c>
      <x:c r="E98" s="30" t="str">
        <x:v>TRANSFEROR</x:v>
      </x:c>
      <x:c r="F98" s="73"/>
      <x:c r="G98" s="73" t="str">
        <x:v>NOT_APPLICABLE</x:v>
      </x:c>
      <x:c r="H98" s="76"/>
      <x:c r="I98" s="76" t="str">
        <x:v>NOT_APPLICABLE</x:v>
      </x:c>
      <x:c r="J98" s="30" t="str">
        <x:v>DISCLOSED</x:v>
      </x:c>
      <x:c r="K98" s="30" t="str">
        <x:v>EVD-688726-0015</x:v>
      </x:c>
      <x:c r="L98" s="30" t="str">
        <x:v>FINAL_APPROVED</x:v>
      </x:c>
    </x:row>
    <x:row r="99">
      <x:c r="A99" s="30" t="str">
        <x:v>TRX-688726-0035</x:v>
      </x:c>
      <x:c r="B99" s="30" t="str">
        <x:v>TP-688726-0095</x:v>
      </x:c>
      <x:c r="C99" s="30" t="str">
        <x:v>STD-688726-012</x:v>
      </x:c>
      <x:c r="D99" s="30" t="str">
        <x:v>TRANSFEREE</x:v>
      </x:c>
      <x:c r="E99" s="30" t="str">
        <x:v>TRANSFEREE</x:v>
      </x:c>
      <x:c r="F99" s="73" t="n">
        <x:v>3782.1009</x:v>
      </x:c>
      <x:c r="G99" s="73" t="str">
        <x:v>DISCLOSED_COMPLETE</x:v>
      </x:c>
      <x:c r="H99" s="76" t="n">
        <x:v>0.0072</x:v>
      </x:c>
      <x:c r="I99" s="76" t="str">
        <x:v>DISCLOSED_COMPLETE</x:v>
      </x:c>
      <x:c r="J99" s="30" t="str">
        <x:v>DISCLOSED</x:v>
      </x:c>
      <x:c r="K99" s="30" t="str">
        <x:v>EVD-688726-0015</x:v>
      </x:c>
      <x:c r="L99" s="30" t="str">
        <x:v>FINAL_APPROVED</x:v>
      </x:c>
    </x:row>
    <x:row r="100">
      <x:c r="A100" s="30" t="str">
        <x:v>TRX-688726-0036</x:v>
      </x:c>
      <x:c r="B100" s="30" t="str">
        <x:v>TP-688726-0096</x:v>
      </x:c>
      <x:c r="C100" s="30" t="str">
        <x:v>STD-688726-023</x:v>
      </x:c>
      <x:c r="D100" s="30" t="str">
        <x:v>TRANSFEROR</x:v>
      </x:c>
      <x:c r="E100" s="30" t="str">
        <x:v>TRANSFEROR</x:v>
      </x:c>
      <x:c r="F100" s="73"/>
      <x:c r="G100" s="73" t="str">
        <x:v>NOT_APPLICABLE</x:v>
      </x:c>
      <x:c r="H100" s="76"/>
      <x:c r="I100" s="76" t="str">
        <x:v>NOT_APPLICABLE</x:v>
      </x:c>
      <x:c r="J100" s="30" t="str">
        <x:v>DISCLOSED</x:v>
      </x:c>
      <x:c r="K100" s="30" t="str">
        <x:v>EVD-688726-0015</x:v>
      </x:c>
      <x:c r="L100" s="30" t="str">
        <x:v>FINAL_APPROVED</x:v>
      </x:c>
    </x:row>
    <x:row r="101">
      <x:c r="A101" s="30" t="str">
        <x:v>TRX-688726-0036</x:v>
      </x:c>
      <x:c r="B101" s="30" t="str">
        <x:v>TP-688726-0097</x:v>
      </x:c>
      <x:c r="C101" s="30" t="str">
        <x:v>STD-688726-012</x:v>
      </x:c>
      <x:c r="D101" s="30" t="str">
        <x:v>TRANSFEREE</x:v>
      </x:c>
      <x:c r="E101" s="30" t="str">
        <x:v>TRANSFEREE</x:v>
      </x:c>
      <x:c r="F101" s="73" t="n">
        <x:v>2000</x:v>
      </x:c>
      <x:c r="G101" s="73" t="str">
        <x:v>DISCLOSED_COMPLETE</x:v>
      </x:c>
      <x:c r="H101" s="76" t="n">
        <x:v>0.0038</x:v>
      </x:c>
      <x:c r="I101" s="76" t="str">
        <x:v>DISCLOSED_COMPLETE</x:v>
      </x:c>
      <x:c r="J101" s="30" t="str">
        <x:v>DISCLOSED</x:v>
      </x:c>
      <x:c r="K101" s="30" t="str">
        <x:v>EVD-688726-0015</x:v>
      </x:c>
      <x:c r="L101" s="30" t="str">
        <x:v>FINAL_APPROVED</x:v>
      </x:c>
    </x:row>
    <x:row r="102">
      <x:c r="A102" s="30" t="str">
        <x:v>TRX-688726-0037</x:v>
      </x:c>
      <x:c r="B102" s="30" t="str">
        <x:v>TP-688726-0098</x:v>
      </x:c>
      <x:c r="C102" s="30" t="str">
        <x:v>STD-688726-068</x:v>
      </x:c>
      <x:c r="D102" s="30" t="str">
        <x:v>TRANSFEROR</x:v>
      </x:c>
      <x:c r="E102" s="30" t="str">
        <x:v>TRANSFEROR</x:v>
      </x:c>
      <x:c r="F102" s="73"/>
      <x:c r="G102" s="73" t="str">
        <x:v>NOT_APPLICABLE</x:v>
      </x:c>
      <x:c r="H102" s="76"/>
      <x:c r="I102" s="76" t="str">
        <x:v>NOT_APPLICABLE</x:v>
      </x:c>
      <x:c r="J102" s="30" t="str">
        <x:v>DISCLOSED</x:v>
      </x:c>
      <x:c r="K102" s="30" t="str">
        <x:v>EVD-688726-0015</x:v>
      </x:c>
      <x:c r="L102" s="30" t="str">
        <x:v>FINAL_APPROVED</x:v>
      </x:c>
    </x:row>
    <x:row r="103">
      <x:c r="A103" s="30" t="str">
        <x:v>TRX-688726-0037</x:v>
      </x:c>
      <x:c r="B103" s="30" t="str">
        <x:v>TP-688726-0099</x:v>
      </x:c>
      <x:c r="C103" s="30" t="str">
        <x:v>STD-688726-012</x:v>
      </x:c>
      <x:c r="D103" s="30" t="str">
        <x:v>TRANSFEREE</x:v>
      </x:c>
      <x:c r="E103" s="30" t="str">
        <x:v>TRANSFEREE</x:v>
      </x:c>
      <x:c r="F103" s="73" t="n">
        <x:v>597.5145</x:v>
      </x:c>
      <x:c r="G103" s="73" t="str">
        <x:v>DISCLOSED_COMPLETE</x:v>
      </x:c>
      <x:c r="H103" s="76" t="n">
        <x:v>0.0011</x:v>
      </x:c>
      <x:c r="I103" s="76" t="str">
        <x:v>DISCLOSED_COMPLETE</x:v>
      </x:c>
      <x:c r="J103" s="30" t="str">
        <x:v>DISCLOSED</x:v>
      </x:c>
      <x:c r="K103" s="30" t="str">
        <x:v>EVD-688726-0015</x:v>
      </x:c>
      <x:c r="L103" s="30" t="str">
        <x:v>FINAL_APPROVED</x:v>
      </x:c>
    </x:row>
    <x:row r="104">
      <x:c r="A104" s="30" t="str">
        <x:v>TRX-688726-0038</x:v>
      </x:c>
      <x:c r="B104" s="30" t="str">
        <x:v>TP-688726-0100</x:v>
      </x:c>
      <x:c r="C104" s="30" t="str">
        <x:v>STD-688726-022</x:v>
      </x:c>
      <x:c r="D104" s="30" t="str">
        <x:v>TRANSFEROR</x:v>
      </x:c>
      <x:c r="E104" s="30" t="str">
        <x:v>TRANSFEROR</x:v>
      </x:c>
      <x:c r="F104" s="73"/>
      <x:c r="G104" s="73" t="str">
        <x:v>NOT_APPLICABLE</x:v>
      </x:c>
      <x:c r="H104" s="76"/>
      <x:c r="I104" s="76" t="str">
        <x:v>NOT_APPLICABLE</x:v>
      </x:c>
      <x:c r="J104" s="30" t="str">
        <x:v>DISCLOSED</x:v>
      </x:c>
      <x:c r="K104" s="30" t="str">
        <x:v>EVD-688726-0015</x:v>
      </x:c>
      <x:c r="L104" s="30" t="str">
        <x:v>FINAL_APPROVED</x:v>
      </x:c>
    </x:row>
    <x:row r="105">
      <x:c r="A105" s="30" t="str">
        <x:v>TRX-688726-0038</x:v>
      </x:c>
      <x:c r="B105" s="30" t="str">
        <x:v>TP-688726-0101</x:v>
      </x:c>
      <x:c r="C105" s="30" t="str">
        <x:v>STD-688726-060</x:v>
      </x:c>
      <x:c r="D105" s="30" t="str">
        <x:v>TRANSFEREE</x:v>
      </x:c>
      <x:c r="E105" s="30" t="str">
        <x:v>TRANSFEREE</x:v>
      </x:c>
      <x:c r="F105" s="73" t="n">
        <x:v>8493.8973</x:v>
      </x:c>
      <x:c r="G105" s="73" t="str">
        <x:v>DISCLOSED_COMPLETE</x:v>
      </x:c>
      <x:c r="H105" s="76" t="n">
        <x:v>0.0161</x:v>
      </x:c>
      <x:c r="I105" s="76" t="str">
        <x:v>DISCLOSED_COMPLETE</x:v>
      </x:c>
      <x:c r="J105" s="30" t="str">
        <x:v>DISCLOSED</x:v>
      </x:c>
      <x:c r="K105" s="30" t="str">
        <x:v>EVD-688726-0015</x:v>
      </x:c>
      <x:c r="L105" s="30" t="str">
        <x:v>FINAL_APPROVED</x:v>
      </x:c>
    </x:row>
    <x:row r="106">
      <x:c r="A106" s="30" t="str">
        <x:v>TRX-688726-0039</x:v>
      </x:c>
      <x:c r="B106" s="30" t="str">
        <x:v>TP-688726-0102</x:v>
      </x:c>
      <x:c r="C106" s="30" t="str">
        <x:v>STD-688726-039</x:v>
      </x:c>
      <x:c r="D106" s="30" t="str">
        <x:v>INVESTOR</x:v>
      </x:c>
      <x:c r="E106" s="30" t="str">
        <x:v>INVESTOR</x:v>
      </x:c>
      <x:c r="F106" s="73" t="n">
        <x:v>9200</x:v>
      </x:c>
      <x:c r="G106" s="73" t="str">
        <x:v>DISCLOSED_COMPLETE</x:v>
      </x:c>
      <x:c r="H106" s="76" t="n">
        <x:v>0.03370582396178529</x:v>
      </x:c>
      <x:c r="I106" s="76" t="str">
        <x:v>DISCLOSED_COMPLETE</x:v>
      </x:c>
      <x:c r="J106" s="30" t="str">
        <x:v>DISCLOSED</x:v>
      </x:c>
      <x:c r="K106" s="30" t="str">
        <x:v>EVD-688726-0016</x:v>
      </x:c>
      <x:c r="L106" s="30" t="str">
        <x:v>FINAL_APPROVED</x:v>
      </x:c>
    </x:row>
    <x:row r="107">
      <x:c r="A107" s="30" t="str">
        <x:v>TRX-688726-0040</x:v>
      </x:c>
      <x:c r="B107" s="30" t="str">
        <x:v>TP-688726-0103</x:v>
      </x:c>
      <x:c r="C107" s="30" t="str">
        <x:v>STD-688726-064</x:v>
      </x:c>
      <x:c r="D107" s="30" t="str">
        <x:v>TRANSFEROR</x:v>
      </x:c>
      <x:c r="E107" s="30" t="str">
        <x:v>TRANSFEROR</x:v>
      </x:c>
      <x:c r="F107" s="73"/>
      <x:c r="G107" s="73" t="str">
        <x:v>NOT_APPLICABLE</x:v>
      </x:c>
      <x:c r="H107" s="76"/>
      <x:c r="I107" s="76" t="str">
        <x:v>NOT_APPLICABLE</x:v>
      </x:c>
      <x:c r="J107" s="30" t="str">
        <x:v>DISCLOSED</x:v>
      </x:c>
      <x:c r="K107" s="30" t="str">
        <x:v>EVD-688726-0017</x:v>
      </x:c>
      <x:c r="L107" s="30" t="str">
        <x:v>FINAL_APPROVED</x:v>
      </x:c>
    </x:row>
    <x:row r="108">
      <x:c r="A108" s="30" t="str">
        <x:v>TRX-688726-0040</x:v>
      </x:c>
      <x:c r="B108" s="30" t="str">
        <x:v>TP-688726-0104</x:v>
      </x:c>
      <x:c r="C108" s="30" t="str">
        <x:v>STD-688726-070</x:v>
      </x:c>
      <x:c r="D108" s="30" t="str">
        <x:v>TRANSFEREE</x:v>
      </x:c>
      <x:c r="E108" s="30" t="str">
        <x:v>TRANSFEREE</x:v>
      </x:c>
      <x:c r="F108" s="73" t="n">
        <x:v>2430.3087</x:v>
      </x:c>
      <x:c r="G108" s="73" t="str">
        <x:v>DISCLOSED_COMPLETE</x:v>
      </x:c>
      <x:c r="H108" s="76" t="n">
        <x:v>0.0039</x:v>
      </x:c>
      <x:c r="I108" s="76" t="str">
        <x:v>DISCLOSED_COMPLETE</x:v>
      </x:c>
      <x:c r="J108" s="30" t="str">
        <x:v>DISCLOSED</x:v>
      </x:c>
      <x:c r="K108" s="30" t="str">
        <x:v>EVD-688726-0017</x:v>
      </x:c>
      <x:c r="L108" s="30" t="str">
        <x:v>FINAL_APPROVED</x:v>
      </x:c>
    </x:row>
    <x:row r="109">
      <x:c r="A109" s="30" t="str">
        <x:v>TRX-688726-0041</x:v>
      </x:c>
      <x:c r="B109" s="30" t="str">
        <x:v>TP-688726-0105</x:v>
      </x:c>
      <x:c r="C109" s="30" t="str">
        <x:v>STD-688726-014</x:v>
      </x:c>
      <x:c r="D109" s="30" t="str">
        <x:v>TRANSFEROR</x:v>
      </x:c>
      <x:c r="E109" s="30" t="str">
        <x:v>TRANSFEROR</x:v>
      </x:c>
      <x:c r="F109" s="73"/>
      <x:c r="G109" s="73" t="str">
        <x:v>NOT_APPLICABLE</x:v>
      </x:c>
      <x:c r="H109" s="76"/>
      <x:c r="I109" s="76" t="str">
        <x:v>NOT_APPLICABLE</x:v>
      </x:c>
      <x:c r="J109" s="30" t="str">
        <x:v>DISCLOSED</x:v>
      </x:c>
      <x:c r="K109" s="30" t="str">
        <x:v>EVD-688726-0017</x:v>
      </x:c>
      <x:c r="L109" s="30" t="str">
        <x:v>FINAL_APPROVED</x:v>
      </x:c>
    </x:row>
    <x:row r="110">
      <x:c r="A110" s="30" t="str">
        <x:v>TRX-688726-0041</x:v>
      </x:c>
      <x:c r="B110" s="30" t="str">
        <x:v>TP-688726-0106</x:v>
      </x:c>
      <x:c r="C110" s="30" t="str">
        <x:v>STD-688726-046</x:v>
      </x:c>
      <x:c r="D110" s="30" t="str">
        <x:v>TRANSFEREE</x:v>
      </x:c>
      <x:c r="E110" s="30" t="str">
        <x:v>TRANSFEREE</x:v>
      </x:c>
      <x:c r="F110" s="73" t="n">
        <x:v>3050.3663</x:v>
      </x:c>
      <x:c r="G110" s="73" t="str">
        <x:v>DISCLOSED_COMPLETE</x:v>
      </x:c>
      <x:c r="H110" s="76" t="n">
        <x:v>0.0048</x:v>
      </x:c>
      <x:c r="I110" s="76" t="str">
        <x:v>DISCLOSED_COMPLETE</x:v>
      </x:c>
      <x:c r="J110" s="30" t="str">
        <x:v>DISCLOSED</x:v>
      </x:c>
      <x:c r="K110" s="30" t="str">
        <x:v>EVD-688726-0017</x:v>
      </x:c>
      <x:c r="L110" s="30" t="str">
        <x:v>FINAL_APPROVED</x:v>
      </x:c>
    </x:row>
    <x:row r="111">
      <x:c r="A111" s="30" t="str">
        <x:v>TRX-688726-0042</x:v>
      </x:c>
      <x:c r="B111" s="30" t="str">
        <x:v>TP-688726-0107</x:v>
      </x:c>
      <x:c r="C111" s="30" t="str">
        <x:v>STD-688726-033</x:v>
      </x:c>
      <x:c r="D111" s="30" t="str">
        <x:v>TRANSFEROR</x:v>
      </x:c>
      <x:c r="E111" s="30" t="str">
        <x:v>TRANSFEROR</x:v>
      </x:c>
      <x:c r="F111" s="73"/>
      <x:c r="G111" s="73" t="str">
        <x:v>NOT_APPLICABLE</x:v>
      </x:c>
      <x:c r="H111" s="76"/>
      <x:c r="I111" s="76" t="str">
        <x:v>NOT_APPLICABLE</x:v>
      </x:c>
      <x:c r="J111" s="30" t="str">
        <x:v>DISCLOSED</x:v>
      </x:c>
      <x:c r="K111" s="30" t="str">
        <x:v>EVD-688726-0017</x:v>
      </x:c>
      <x:c r="L111" s="30" t="str">
        <x:v>FINAL_APPROVED</x:v>
      </x:c>
    </x:row>
    <x:row r="112">
      <x:c r="A112" s="30" t="str">
        <x:v>TRX-688726-0042</x:v>
      </x:c>
      <x:c r="B112" s="30" t="str">
        <x:v>TP-688726-0108</x:v>
      </x:c>
      <x:c r="C112" s="30" t="str">
        <x:v>STD-688726-046</x:v>
      </x:c>
      <x:c r="D112" s="30" t="str">
        <x:v>TRANSFEREE</x:v>
      </x:c>
      <x:c r="E112" s="30" t="str">
        <x:v>TRANSFEREE</x:v>
      </x:c>
      <x:c r="F112" s="73" t="n">
        <x:v>1525.2039</x:v>
      </x:c>
      <x:c r="G112" s="73" t="str">
        <x:v>DISCLOSED_COMPLETE</x:v>
      </x:c>
      <x:c r="H112" s="76" t="n">
        <x:v>0.0024</x:v>
      </x:c>
      <x:c r="I112" s="76" t="str">
        <x:v>DISCLOSED_COMPLETE</x:v>
      </x:c>
      <x:c r="J112" s="30" t="str">
        <x:v>DISCLOSED</x:v>
      </x:c>
      <x:c r="K112" s="30" t="str">
        <x:v>EVD-688726-0017</x:v>
      </x:c>
      <x:c r="L112" s="30" t="str">
        <x:v>FINAL_APPROVED</x:v>
      </x:c>
    </x:row>
    <x:row r="113">
      <x:c r="A113" s="30" t="str">
        <x:v>TRX-688726-0043</x:v>
      </x:c>
      <x:c r="B113" s="30" t="str">
        <x:v>TP-688726-0109</x:v>
      </x:c>
      <x:c r="C113" s="30" t="str">
        <x:v>STD-688726-015</x:v>
      </x:c>
      <x:c r="D113" s="30" t="str">
        <x:v>INVESTOR</x:v>
      </x:c>
      <x:c r="E113" s="30" t="str">
        <x:v>INVESTOR</x:v>
      </x:c>
      <x:c r="F113" s="73" t="n">
        <x:v>12000</x:v>
      </x:c>
      <x:c r="G113" s="73" t="str">
        <x:v>DISCLOSED_COMPLETE</x:v>
      </x:c>
      <x:c r="H113" s="76" t="n">
        <x:v>0.015627044341053806</x:v>
      </x:c>
      <x:c r="I113" s="76" t="str">
        <x:v>DISCLOSED_COMPLETE</x:v>
      </x:c>
      <x:c r="J113" s="30" t="str">
        <x:v>DISCLOSED</x:v>
      </x:c>
      <x:c r="K113" s="30" t="str">
        <x:v>EVD-688726-0018</x:v>
      </x:c>
      <x:c r="L113" s="30" t="str">
        <x:v>FINAL_APPROVED</x:v>
      </x:c>
    </x:row>
    <x:row r="114">
      <x:c r="A114" s="30" t="str">
        <x:v>TRX-688726-0043</x:v>
      </x:c>
      <x:c r="B114" s="30" t="str">
        <x:v>TP-688726-0110</x:v>
      </x:c>
      <x:c r="C114" s="30" t="str">
        <x:v>STD-688726-013</x:v>
      </x:c>
      <x:c r="D114" s="30" t="str">
        <x:v>INVESTOR</x:v>
      </x:c>
      <x:c r="E114" s="30" t="str">
        <x:v>INVESTOR</x:v>
      </x:c>
      <x:c r="F114" s="73" t="n">
        <x:v>7600</x:v>
      </x:c>
      <x:c r="G114" s="73" t="str">
        <x:v>DISCLOSED_COMPLETE</x:v>
      </x:c>
      <x:c r="H114" s="76" t="n">
        <x:v>0.009897140091646524</x:v>
      </x:c>
      <x:c r="I114" s="76" t="str">
        <x:v>DISCLOSED_COMPLETE</x:v>
      </x:c>
      <x:c r="J114" s="30" t="str">
        <x:v>DISCLOSED</x:v>
      </x:c>
      <x:c r="K114" s="30" t="str">
        <x:v>EVD-688726-0018</x:v>
      </x:c>
      <x:c r="L114" s="30" t="str">
        <x:v>FINAL_APPROVED</x:v>
      </x:c>
    </x:row>
    <x:row r="115">
      <x:c r="A115" s="30" t="str">
        <x:v>TRX-688726-0043</x:v>
      </x:c>
      <x:c r="B115" s="30" t="str">
        <x:v>TP-688726-0111</x:v>
      </x:c>
      <x:c r="C115" s="30" t="str">
        <x:v>STD-688726-042</x:v>
      </x:c>
      <x:c r="D115" s="30" t="str">
        <x:v>INVESTOR</x:v>
      </x:c>
      <x:c r="E115" s="30" t="str">
        <x:v>INVESTOR</x:v>
      </x:c>
      <x:c r="F115" s="73" t="n">
        <x:v>5000</x:v>
      </x:c>
      <x:c r="G115" s="73" t="str">
        <x:v>DISCLOSED_COMPLETE</x:v>
      </x:c>
      <x:c r="H115" s="76" t="n">
        <x:v>0.006511268475439085</x:v>
      </x:c>
      <x:c r="I115" s="76" t="str">
        <x:v>DISCLOSED_COMPLETE</x:v>
      </x:c>
      <x:c r="J115" s="30" t="str">
        <x:v>DISCLOSED</x:v>
      </x:c>
      <x:c r="K115" s="30" t="str">
        <x:v>EVD-688726-0018</x:v>
      </x:c>
      <x:c r="L115" s="30" t="str">
        <x:v>FINAL_APPROVED</x:v>
      </x:c>
    </x:row>
    <x:row r="116">
      <x:c r="A116" s="30" t="str">
        <x:v>TRX-688726-0043</x:v>
      </x:c>
      <x:c r="B116" s="30" t="str">
        <x:v>TP-688726-0112</x:v>
      </x:c>
      <x:c r="C116" s="30" t="str">
        <x:v>STD-688726-056</x:v>
      </x:c>
      <x:c r="D116" s="30" t="str">
        <x:v>INVESTOR</x:v>
      </x:c>
      <x:c r="E116" s="30" t="str">
        <x:v>INVESTOR</x:v>
      </x:c>
      <x:c r="F116" s="73" t="n">
        <x:v>5000</x:v>
      </x:c>
      <x:c r="G116" s="73" t="str">
        <x:v>DISCLOSED_COMPLETE</x:v>
      </x:c>
      <x:c r="H116" s="76" t="n">
        <x:v>0.006511268475439085</x:v>
      </x:c>
      <x:c r="I116" s="76" t="str">
        <x:v>DISCLOSED_COMPLETE</x:v>
      </x:c>
      <x:c r="J116" s="30" t="str">
        <x:v>DISCLOSED</x:v>
      </x:c>
      <x:c r="K116" s="30" t="str">
        <x:v>EVD-688726-0018</x:v>
      </x:c>
      <x:c r="L116" s="30" t="str">
        <x:v>FINAL_APPROVED</x:v>
      </x:c>
    </x:row>
    <x:row r="117">
      <x:c r="A117" s="30" t="str">
        <x:v>TRX-688726-0043</x:v>
      </x:c>
      <x:c r="B117" s="30" t="str">
        <x:v>TP-688726-0113</x:v>
      </x:c>
      <x:c r="C117" s="30" t="str">
        <x:v>STD-688726-034</x:v>
      </x:c>
      <x:c r="D117" s="30" t="str">
        <x:v>INVESTOR</x:v>
      </x:c>
      <x:c r="E117" s="30" t="str">
        <x:v>INVESTOR</x:v>
      </x:c>
      <x:c r="F117" s="73" t="n">
        <x:v>5000</x:v>
      </x:c>
      <x:c r="G117" s="73" t="str">
        <x:v>DISCLOSED_COMPLETE</x:v>
      </x:c>
      <x:c r="H117" s="76" t="n">
        <x:v>0.006511268475439085</x:v>
      </x:c>
      <x:c r="I117" s="76" t="str">
        <x:v>DISCLOSED_COMPLETE</x:v>
      </x:c>
      <x:c r="J117" s="30" t="str">
        <x:v>DISCLOSED</x:v>
      </x:c>
      <x:c r="K117" s="30" t="str">
        <x:v>EVD-688726-0018</x:v>
      </x:c>
      <x:c r="L117" s="30" t="str">
        <x:v>FINAL_APPROVED</x:v>
      </x:c>
    </x:row>
    <x:row r="118">
      <x:c r="A118" s="30" t="str">
        <x:v>TRX-688726-0043</x:v>
      </x:c>
      <x:c r="B118" s="30" t="str">
        <x:v>TP-688726-0114</x:v>
      </x:c>
      <x:c r="C118" s="30" t="str">
        <x:v>STD-688726-054</x:v>
      </x:c>
      <x:c r="D118" s="30" t="str">
        <x:v>INVESTOR</x:v>
      </x:c>
      <x:c r="E118" s="30" t="str">
        <x:v>INVESTOR</x:v>
      </x:c>
      <x:c r="F118" s="73" t="n">
        <x:v>4000</x:v>
      </x:c>
      <x:c r="G118" s="73" t="str">
        <x:v>DISCLOSED_COMPLETE</x:v>
      </x:c>
      <x:c r="H118" s="76" t="n">
        <x:v>0.005209014780351269</x:v>
      </x:c>
      <x:c r="I118" s="76" t="str">
        <x:v>DISCLOSED_COMPLETE</x:v>
      </x:c>
      <x:c r="J118" s="30" t="str">
        <x:v>DISCLOSED</x:v>
      </x:c>
      <x:c r="K118" s="30" t="str">
        <x:v>EVD-688726-0018</x:v>
      </x:c>
      <x:c r="L118" s="30" t="str">
        <x:v>FINAL_APPROVED</x:v>
      </x:c>
    </x:row>
    <x:row r="119">
      <x:c r="A119" s="30" t="str">
        <x:v>TRX-688726-0043</x:v>
      </x:c>
      <x:c r="B119" s="30" t="str">
        <x:v>TP-688726-0115</x:v>
      </x:c>
      <x:c r="C119" s="30" t="str">
        <x:v>STD-688726-071</x:v>
      </x:c>
      <x:c r="D119" s="30" t="str">
        <x:v>INVESTOR</x:v>
      </x:c>
      <x:c r="E119" s="30" t="str">
        <x:v>INVESTOR</x:v>
      </x:c>
      <x:c r="F119" s="73" t="n">
        <x:v>4500</x:v>
      </x:c>
      <x:c r="G119" s="73" t="str">
        <x:v>DISCLOSED_COMPLETE</x:v>
      </x:c>
      <x:c r="H119" s="76" t="n">
        <x:v>0.005860141627895178</x:v>
      </x:c>
      <x:c r="I119" s="76" t="str">
        <x:v>DISCLOSED_COMPLETE</x:v>
      </x:c>
      <x:c r="J119" s="30" t="str">
        <x:v>DISCLOSED</x:v>
      </x:c>
      <x:c r="K119" s="30" t="str">
        <x:v>EVD-688726-0018</x:v>
      </x:c>
      <x:c r="L119" s="30" t="str">
        <x:v>FINAL_APPROVED</x:v>
      </x:c>
    </x:row>
    <x:row r="120">
      <x:c r="A120" s="30" t="str">
        <x:v>TRX-688726-0043</x:v>
      </x:c>
      <x:c r="B120" s="30" t="str">
        <x:v>TP-688726-0116</x:v>
      </x:c>
      <x:c r="C120" s="30" t="str">
        <x:v>STD-688726-052</x:v>
      </x:c>
      <x:c r="D120" s="30" t="str">
        <x:v>INVESTOR</x:v>
      </x:c>
      <x:c r="E120" s="30" t="str">
        <x:v>INVESTOR</x:v>
      </x:c>
      <x:c r="F120" s="73" t="n">
        <x:v>3800</x:v>
      </x:c>
      <x:c r="G120" s="73" t="str">
        <x:v>DISCLOSED_COMPLETE</x:v>
      </x:c>
      <x:c r="H120" s="76" t="n">
        <x:v>0.004948540023375478</x:v>
      </x:c>
      <x:c r="I120" s="76" t="str">
        <x:v>DISCLOSED_COMPLETE</x:v>
      </x:c>
      <x:c r="J120" s="30" t="str">
        <x:v>DISCLOSED</x:v>
      </x:c>
      <x:c r="K120" s="30" t="str">
        <x:v>EVD-688726-0018</x:v>
      </x:c>
      <x:c r="L120" s="30" t="str">
        <x:v>FINAL_APPROVED</x:v>
      </x:c>
    </x:row>
    <x:row r="121">
      <x:c r="A121" s="30" t="str">
        <x:v>TRX-688726-0043</x:v>
      </x:c>
      <x:c r="B121" s="30" t="str">
        <x:v>TP-688726-0117</x:v>
      </x:c>
      <x:c r="C121" s="30" t="str">
        <x:v>STD-688726-017</x:v>
      </x:c>
      <x:c r="D121" s="30" t="str">
        <x:v>INVESTOR</x:v>
      </x:c>
      <x:c r="E121" s="30" t="str">
        <x:v>INVESTOR</x:v>
      </x:c>
      <x:c r="F121" s="73" t="n">
        <x:v>3500</x:v>
      </x:c>
      <x:c r="G121" s="73" t="str">
        <x:v>DISCLOSED_COMPLETE</x:v>
      </x:c>
      <x:c r="H121" s="76" t="n">
        <x:v>0.00455788793280736</x:v>
      </x:c>
      <x:c r="I121" s="76" t="str">
        <x:v>DISCLOSED_COMPLETE</x:v>
      </x:c>
      <x:c r="J121" s="30" t="str">
        <x:v>DISCLOSED</x:v>
      </x:c>
      <x:c r="K121" s="30" t="str">
        <x:v>EVD-688726-0018</x:v>
      </x:c>
      <x:c r="L121" s="30" t="str">
        <x:v>FINAL_APPROVED</x:v>
      </x:c>
    </x:row>
    <x:row r="122">
      <x:c r="A122" s="30" t="str">
        <x:v>TRX-688726-0043</x:v>
      </x:c>
      <x:c r="B122" s="30" t="str">
        <x:v>TP-688726-0118</x:v>
      </x:c>
      <x:c r="C122" s="30" t="str">
        <x:v>STD-688726-011</x:v>
      </x:c>
      <x:c r="D122" s="30" t="str">
        <x:v>INVESTOR</x:v>
      </x:c>
      <x:c r="E122" s="30" t="str">
        <x:v>INVESTOR</x:v>
      </x:c>
      <x:c r="F122" s="73" t="n">
        <x:v>3000</x:v>
      </x:c>
      <x:c r="G122" s="73" t="str">
        <x:v>DISCLOSED_COMPLETE</x:v>
      </x:c>
      <x:c r="H122" s="76" t="n">
        <x:v>0.003906761085263452</x:v>
      </x:c>
      <x:c r="I122" s="76" t="str">
        <x:v>DISCLOSED_COMPLETE</x:v>
      </x:c>
      <x:c r="J122" s="30" t="str">
        <x:v>DISCLOSED</x:v>
      </x:c>
      <x:c r="K122" s="30" t="str">
        <x:v>EVD-688726-0018</x:v>
      </x:c>
      <x:c r="L122" s="30" t="str">
        <x:v>FINAL_APPROVED</x:v>
      </x:c>
    </x:row>
    <x:row r="123">
      <x:c r="A123" s="30" t="str">
        <x:v>TRX-688726-0043</x:v>
      </x:c>
      <x:c r="B123" s="30" t="str">
        <x:v>TP-688726-0119</x:v>
      </x:c>
      <x:c r="C123" s="30" t="str">
        <x:v>STD-688726-073</x:v>
      </x:c>
      <x:c r="D123" s="30" t="str">
        <x:v>INVESTOR</x:v>
      </x:c>
      <x:c r="E123" s="30" t="str">
        <x:v>INVESTOR</x:v>
      </x:c>
      <x:c r="F123" s="73" t="n">
        <x:v>3000</x:v>
      </x:c>
      <x:c r="G123" s="73" t="str">
        <x:v>DISCLOSED_COMPLETE</x:v>
      </x:c>
      <x:c r="H123" s="76" t="n">
        <x:v>0.003906761085263452</x:v>
      </x:c>
      <x:c r="I123" s="76" t="str">
        <x:v>DISCLOSED_COMPLETE</x:v>
      </x:c>
      <x:c r="J123" s="30" t="str">
        <x:v>DISCLOSED</x:v>
      </x:c>
      <x:c r="K123" s="30" t="str">
        <x:v>EVD-688726-0018</x:v>
      </x:c>
      <x:c r="L123" s="30" t="str">
        <x:v>FINAL_APPROVED</x:v>
      </x:c>
    </x:row>
    <x:row r="124">
      <x:c r="A124" s="30" t="str">
        <x:v>TRX-688726-0043</x:v>
      </x:c>
      <x:c r="B124" s="30" t="str">
        <x:v>TP-688726-0120</x:v>
      </x:c>
      <x:c r="C124" s="30" t="str">
        <x:v>STD-688726-035</x:v>
      </x:c>
      <x:c r="D124" s="30" t="str">
        <x:v>INVESTOR</x:v>
      </x:c>
      <x:c r="E124" s="30" t="str">
        <x:v>INVESTOR</x:v>
      </x:c>
      <x:c r="F124" s="73" t="n">
        <x:v>2750</x:v>
      </x:c>
      <x:c r="G124" s="73" t="str">
        <x:v>DISCLOSED_COMPLETE</x:v>
      </x:c>
      <x:c r="H124" s="76" t="n">
        <x:v>0.0035811976614914974</x:v>
      </x:c>
      <x:c r="I124" s="76" t="str">
        <x:v>DISCLOSED_COMPLETE</x:v>
      </x:c>
      <x:c r="J124" s="30" t="str">
        <x:v>DISCLOSED</x:v>
      </x:c>
      <x:c r="K124" s="30" t="str">
        <x:v>EVD-688726-0018</x:v>
      </x:c>
      <x:c r="L124" s="30" t="str">
        <x:v>FINAL_APPROVED</x:v>
      </x:c>
    </x:row>
    <x:row r="125">
      <x:c r="A125" s="30" t="str">
        <x:v>TRX-688726-0043</x:v>
      </x:c>
      <x:c r="B125" s="30" t="str">
        <x:v>TP-688726-0121</x:v>
      </x:c>
      <x:c r="C125" s="30" t="str">
        <x:v>STD-688726-036</x:v>
      </x:c>
      <x:c r="D125" s="30" t="str">
        <x:v>INVESTOR</x:v>
      </x:c>
      <x:c r="E125" s="30" t="str">
        <x:v>INVESTOR</x:v>
      </x:c>
      <x:c r="F125" s="73" t="n">
        <x:v>2250</x:v>
      </x:c>
      <x:c r="G125" s="73" t="str">
        <x:v>DISCLOSED_COMPLETE</x:v>
      </x:c>
      <x:c r="H125" s="76" t="n">
        <x:v>0.002930070813947589</x:v>
      </x:c>
      <x:c r="I125" s="76" t="str">
        <x:v>DISCLOSED_COMPLETE</x:v>
      </x:c>
      <x:c r="J125" s="30" t="str">
        <x:v>DISCLOSED</x:v>
      </x:c>
      <x:c r="K125" s="30" t="str">
        <x:v>EVD-688726-0018</x:v>
      </x:c>
      <x:c r="L125" s="30" t="str">
        <x:v>FINAL_APPROVED</x:v>
      </x:c>
    </x:row>
    <x:row r="126">
      <x:c r="A126" s="30" t="str">
        <x:v>TRX-688726-0043</x:v>
      </x:c>
      <x:c r="B126" s="30" t="str">
        <x:v>TP-688726-0122</x:v>
      </x:c>
      <x:c r="C126" s="30" t="str">
        <x:v>STD-688726-044</x:v>
      </x:c>
      <x:c r="D126" s="30" t="str">
        <x:v>INVESTOR</x:v>
      </x:c>
      <x:c r="E126" s="30" t="str">
        <x:v>INVESTOR</x:v>
      </x:c>
      <x:c r="F126" s="73" t="n">
        <x:v>2000</x:v>
      </x:c>
      <x:c r="G126" s="73" t="str">
        <x:v>DISCLOSED_COMPLETE</x:v>
      </x:c>
      <x:c r="H126" s="76" t="n">
        <x:v>0.0026045073901756347</x:v>
      </x:c>
      <x:c r="I126" s="76" t="str">
        <x:v>DISCLOSED_COMPLETE</x:v>
      </x:c>
      <x:c r="J126" s="30" t="str">
        <x:v>DISCLOSED</x:v>
      </x:c>
      <x:c r="K126" s="30" t="str">
        <x:v>EVD-688726-0018</x:v>
      </x:c>
      <x:c r="L126" s="30" t="str">
        <x:v>FINAL_APPROVED</x:v>
      </x:c>
    </x:row>
    <x:row r="127">
      <x:c r="A127" s="30" t="str">
        <x:v>TRX-688726-0043</x:v>
      </x:c>
      <x:c r="B127" s="30" t="str">
        <x:v>TP-688726-0123</x:v>
      </x:c>
      <x:c r="C127" s="30" t="str">
        <x:v>STD-688726-077</x:v>
      </x:c>
      <x:c r="D127" s="30" t="str">
        <x:v>INVESTOR</x:v>
      </x:c>
      <x:c r="E127" s="30" t="str">
        <x:v>INVESTOR</x:v>
      </x:c>
      <x:c r="F127" s="73" t="n">
        <x:v>2000</x:v>
      </x:c>
      <x:c r="G127" s="73" t="str">
        <x:v>DISCLOSED_COMPLETE</x:v>
      </x:c>
      <x:c r="H127" s="76" t="n">
        <x:v>0.0026045073901756347</x:v>
      </x:c>
      <x:c r="I127" s="76" t="str">
        <x:v>DISCLOSED_COMPLETE</x:v>
      </x:c>
      <x:c r="J127" s="30" t="str">
        <x:v>DISCLOSED</x:v>
      </x:c>
      <x:c r="K127" s="30" t="str">
        <x:v>EVD-688726-0018</x:v>
      </x:c>
      <x:c r="L127" s="30" t="str">
        <x:v>FINAL_APPROVED</x:v>
      </x:c>
    </x:row>
    <x:row r="128">
      <x:c r="A128" s="30" t="str">
        <x:v>TRX-688726-0043</x:v>
      </x:c>
      <x:c r="B128" s="30" t="str">
        <x:v>TP-688726-0124</x:v>
      </x:c>
      <x:c r="C128" s="30" t="str">
        <x:v>STD-688726-020</x:v>
      </x:c>
      <x:c r="D128" s="30" t="str">
        <x:v>INVESTOR</x:v>
      </x:c>
      <x:c r="E128" s="30" t="str">
        <x:v>INVESTOR</x:v>
      </x:c>
      <x:c r="F128" s="73" t="n">
        <x:v>1500</x:v>
      </x:c>
      <x:c r="G128" s="73" t="str">
        <x:v>DISCLOSED_COMPLETE</x:v>
      </x:c>
      <x:c r="H128" s="76" t="n">
        <x:v>0.001953380542631726</x:v>
      </x:c>
      <x:c r="I128" s="76" t="str">
        <x:v>DISCLOSED_COMPLETE</x:v>
      </x:c>
      <x:c r="J128" s="30" t="str">
        <x:v>DISCLOSED</x:v>
      </x:c>
      <x:c r="K128" s="30" t="str">
        <x:v>EVD-688726-0018</x:v>
      </x:c>
      <x:c r="L128" s="30" t="str">
        <x:v>FINAL_APPROVED</x:v>
      </x:c>
    </x:row>
    <x:row r="129">
      <x:c r="A129" s="30" t="str">
        <x:v>TRX-688726-0043</x:v>
      </x:c>
      <x:c r="B129" s="30" t="str">
        <x:v>TP-688726-0125</x:v>
      </x:c>
      <x:c r="C129" s="30" t="str">
        <x:v>STD-688726-053</x:v>
      </x:c>
      <x:c r="D129" s="30" t="str">
        <x:v>INVESTOR</x:v>
      </x:c>
      <x:c r="E129" s="30" t="str">
        <x:v>INVESTOR</x:v>
      </x:c>
      <x:c r="F129" s="73" t="n">
        <x:v>1000</x:v>
      </x:c>
      <x:c r="G129" s="73" t="str">
        <x:v>DISCLOSED_COMPLETE</x:v>
      </x:c>
      <x:c r="H129" s="76" t="n">
        <x:v>0.0013022536950878173</x:v>
      </x:c>
      <x:c r="I129" s="76" t="str">
        <x:v>DISCLOSED_COMPLETE</x:v>
      </x:c>
      <x:c r="J129" s="30" t="str">
        <x:v>DISCLOSED</x:v>
      </x:c>
      <x:c r="K129" s="30" t="str">
        <x:v>EVD-688726-0018</x:v>
      </x:c>
      <x:c r="L129" s="30" t="str">
        <x:v>FINAL_APPROVED</x:v>
      </x:c>
    </x:row>
    <x:row r="130">
      <x:c r="A130" s="31" t="str">
        <x:v>TRX-688726-0044</x:v>
      </x:c>
      <x:c r="B130" s="31" t="str">
        <x:v>TP-688726-0126</x:v>
      </x:c>
      <x:c r="C130" s="31" t="str">
        <x:v>STD-688726-038</x:v>
      </x:c>
      <x:c r="D130" s="31" t="str">
        <x:v>INVESTOR</x:v>
      </x:c>
      <x:c r="E130" s="31" t="str">
        <x:v>INVESTOR</x:v>
      </x:c>
      <x:c r="F130" s="74" t="n">
        <x:v>3987</x:v>
      </x:c>
      <x:c r="G130" s="74" t="str">
        <x:v>DISCLOSED_COMPLETE</x:v>
      </x:c>
      <x:c r="H130" s="77" t="n">
        <x:v>0.013140500256076333</x:v>
      </x:c>
      <x:c r="I130" s="77" t="str">
        <x:v>DISCLOSED_COMPLETE</x:v>
      </x:c>
      <x:c r="J130" s="31" t="str">
        <x:v>DISCLOSED</x:v>
      </x:c>
      <x:c r="K130" s="31" t="str">
        <x:v>EVD-688726-0020</x:v>
      </x:c>
      <x:c r="L130" s="31" t="str">
        <x:v>FINAL_APPROVED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8" hidden="0" customWidth="1"/>
    <x:col min="13" max="13" width="48" hidden="0" customWidth="1"/>
    <x:col min="14" max="14" width="48" hidden="0" customWidth="1"/>
    <x:col min="15" max="15" width="24" hidden="0" customWidth="1"/>
    <x:col min="16" max="16" width="24" hidden="0" customWidth="1"/>
    <x:col min="17" max="17" width="48" hidden="0" customWidth="1"/>
    <x:col min="18" max="18" width="24" hidden="0" customWidth="1"/>
    <x:col min="19" max="19" width="24" hidden="0" customWidth="1"/>
  </x:cols>
  <x:sheetData>
    <x:row r="1" ht="30" customHeight="1">
      <x:c r="A1" s="3" t="str">
        <x:v>evidence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</x:row>
    <x:row r="4" ht="30" customHeight="1">
      <x:c r="A4" s="19" t="str">
        <x:v>evidence_id</x:v>
      </x:c>
      <x:c r="B4" s="20" t="str">
        <x:v>company_id</x:v>
      </x:c>
      <x:c r="C4" s="20" t="str">
        <x:v>event_id</x:v>
      </x:c>
      <x:c r="D4" s="20" t="str">
        <x:v>transaction_id</x:v>
      </x:c>
      <x:c r="E4" s="20" t="str">
        <x:v>entity_id</x:v>
      </x:c>
      <x:c r="F4" s="20" t="str">
        <x:v>source_file</x:v>
      </x:c>
      <x:c r="G4" s="20" t="str">
        <x:v>pdf_page_start</x:v>
      </x:c>
      <x:c r="H4" s="20" t="str">
        <x:v>pdf_page_end</x:v>
      </x:c>
      <x:c r="I4" s="20" t="str">
        <x:v>document_page_start</x:v>
      </x:c>
      <x:c r="J4" s="20" t="str">
        <x:v>document_page_end</x:v>
      </x:c>
      <x:c r="K4" s="20" t="str">
        <x:v>source_section</x:v>
      </x:c>
      <x:c r="L4" s="20" t="str">
        <x:v>source_line_range</x:v>
      </x:c>
      <x:c r="M4" s="20" t="str">
        <x:v>evidence_text</x:v>
      </x:c>
      <x:c r="N4" s="20" t="str">
        <x:v>evidence_summary</x:v>
      </x:c>
      <x:c r="O4" s="20" t="str">
        <x:v>evidence_type</x:v>
      </x:c>
      <x:c r="P4" s="20" t="str">
        <x:v>evidence_sha256</x:v>
      </x:c>
      <x:c r="Q4" s="20" t="str">
        <x:v>supported_fields</x:v>
      </x:c>
      <x:c r="R4" s="20" t="str">
        <x:v>supported_value_source_type</x:v>
      </x:c>
      <x:c r="S4" s="21" t="str">
        <x:v>review_status</x:v>
      </x:c>
    </x:row>
    <x:row r="5">
      <x:c r="A5" s="29" t="str">
        <x:v>EVD-688726-0000</x:v>
      </x:c>
      <x:c r="B5" s="29" t="str">
        <x:v>688726</x:v>
      </x:c>
      <x:c r="C5" s="29" t="str">
        <x:v>EVT-688726-EST</x:v>
      </x:c>
      <x:c r="D5" s="29"/>
      <x:c r="E5" s="29"/>
      <x:c r="F5" s="29" t="str">
        <x:v>688726_laplace_ipo_application_20230619.pdf</x:v>
      </x:c>
      <x:c r="G5" s="29" t="n">
        <x:v>34</x:v>
      </x:c>
      <x:c r="H5" s="29" t="n">
        <x:v>34</x:v>
      </x:c>
      <x:c r="I5" s="29" t="str">
        <x:v>33</x:v>
      </x:c>
      <x:c r="J5" s="29" t="str">
        <x:v>33</x:v>
      </x:c>
      <x:c r="K5" s="29" t="str">
        <x:v>有限公司设立情况</x:v>
      </x:c>
      <x:c r="L5" s="29" t="str">
        <x:v>PDF第34页/正文第33页</x:v>
      </x:c>
      <x:c r="M5" s="29" t="str">
        <x:v>2016年5月拉普拉斯有限由陈婉升、上海淳和、冯魏出资500万元设立。</x:v>
      </x:c>
      <x:c r="N5" s="29" t="str">
        <x:v>2016年5月拉普拉斯有限由陈婉升、上海淳和、冯魏出资500万元设立。</x:v>
      </x:c>
      <x:c r="O5" s="29" t="str">
        <x:v>TABLE</x:v>
      </x:c>
      <x:c r="P5" s="29" t="str">
        <x:v>1fbb4dd12844e7404df72f60afff833548e0bdba8b2a83b6880cc1891a2101e3</x:v>
      </x:c>
      <x:c r="Q5" s="29" t="str">
        <x:v>event|transaction|entity|amount|ownership</x:v>
      </x:c>
      <x:c r="R5" s="72" t="str">
        <x:v>DISCLOSED</x:v>
      </x:c>
      <x:c r="S5" s="29" t="str">
        <x:v>FINAL_APPROVED</x:v>
      </x:c>
    </x:row>
    <x:row r="6">
      <x:c r="A6" s="30" t="str">
        <x:v>EVD-688726-0001</x:v>
      </x:c>
      <x:c r="B6" s="30" t="str">
        <x:v>688726</x:v>
      </x:c>
      <x:c r="C6" s="30" t="str">
        <x:v>EVT-688726-0001</x:v>
      </x:c>
      <x:c r="D6" s="30"/>
      <x:c r="E6" s="30"/>
      <x:c r="F6" s="30" t="str">
        <x:v>688726_laplace_ipo_application_20230619.pdf</x:v>
      </x:c>
      <x:c r="G6" s="30" t="n">
        <x:v>38</x:v>
      </x:c>
      <x:c r="H6" s="30" t="n">
        <x:v>38</x:v>
      </x:c>
      <x:c r="I6" s="30" t="str">
        <x:v>37</x:v>
      </x:c>
      <x:c r="J6" s="30" t="str">
        <x:v>37</x:v>
      </x:c>
      <x:c r="K6" s="30" t="str">
        <x:v>报告期内股本和股东变化</x:v>
      </x:c>
      <x:c r="L6" s="30" t="str">
        <x:v>PDF第38页/正文第37页</x:v>
      </x:c>
      <x:c r="M6" s="30" t="str">
        <x:v>源表第1项：2020-04增资，注册资本/股本由528.7089增至813.3983万元，认缴对价合计5000.0000万元。</x:v>
      </x:c>
      <x:c r="N6" s="30" t="str">
        <x:v>源表第1项：2020-04增资，注册资本/股本由528.7089增至813.3983万元，认缴对价合计5000.0000万元。</x:v>
      </x:c>
      <x:c r="O6" s="30" t="str">
        <x:v>TABLE</x:v>
      </x:c>
      <x:c r="P6" s="30" t="str">
        <x:v>0b7e5d95b0834a638bf925b9d9f37a7256b9587122ffbb31bfb4a9bc383cc4ae</x:v>
      </x:c>
      <x:c r="Q6" s="30" t="str">
        <x:v>event|transaction|entity|amount|ownership</x:v>
      </x:c>
      <x:c r="R6" s="73" t="str">
        <x:v>DISCLOSED</x:v>
      </x:c>
      <x:c r="S6" s="30" t="str">
        <x:v>FINAL_APPROVED</x:v>
      </x:c>
    </x:row>
    <x:row r="7">
      <x:c r="A7" s="30" t="str">
        <x:v>EVD-688726-0002</x:v>
      </x:c>
      <x:c r="B7" s="30" t="str">
        <x:v>688726</x:v>
      </x:c>
      <x:c r="C7" s="30" t="str">
        <x:v>EVT-688726-0002</x:v>
      </x:c>
      <x:c r="D7" s="30"/>
      <x:c r="E7" s="30"/>
      <x:c r="F7" s="30" t="str">
        <x:v>688726_laplace_ipo_application_20230619.pdf</x:v>
      </x:c>
      <x:c r="G7" s="30" t="n">
        <x:v>38</x:v>
      </x:c>
      <x:c r="H7" s="30" t="n">
        <x:v>38</x:v>
      </x:c>
      <x:c r="I7" s="30" t="str">
        <x:v>37</x:v>
      </x:c>
      <x:c r="J7" s="30" t="str">
        <x:v>37</x:v>
      </x:c>
      <x:c r="K7" s="30" t="str">
        <x:v>报告期内股本和股东变化</x:v>
      </x:c>
      <x:c r="L7" s="30" t="str">
        <x:v>PDF第38页/正文第37页</x:v>
      </x:c>
      <x:c r="M7" s="30" t="str">
        <x:v>源表第2项：2020-10股权转让1笔，可核验对价合计500.0000万元。</x:v>
      </x:c>
      <x:c r="N7" s="30" t="str">
        <x:v>源表第2项：2020-10股权转让1笔，可核验对价合计500.0000万元。</x:v>
      </x:c>
      <x:c r="O7" s="30" t="str">
        <x:v>TABLE</x:v>
      </x:c>
      <x:c r="P7" s="30" t="str">
        <x:v>df3117f09754032e931c467ef8a4fb6a957ff39959fe794f45e93ba81536d382</x:v>
      </x:c>
      <x:c r="Q7" s="30" t="str">
        <x:v>event|transaction|entity|amount|ownership</x:v>
      </x:c>
      <x:c r="R7" s="73" t="str">
        <x:v>DISCLOSED</x:v>
      </x:c>
      <x:c r="S7" s="30" t="str">
        <x:v>FINAL_APPROVED</x:v>
      </x:c>
    </x:row>
    <x:row r="8">
      <x:c r="A8" s="30" t="str">
        <x:v>EVD-688726-0003</x:v>
      </x:c>
      <x:c r="B8" s="30" t="str">
        <x:v>688726</x:v>
      </x:c>
      <x:c r="C8" s="30" t="str">
        <x:v>EVT-688726-0003</x:v>
      </x:c>
      <x:c r="D8" s="30"/>
      <x:c r="E8" s="30"/>
      <x:c r="F8" s="30" t="str">
        <x:v>688726_laplace_ipo_application_20230619.pdf</x:v>
      </x:c>
      <x:c r="G8" s="30" t="n">
        <x:v>38</x:v>
      </x:c>
      <x:c r="H8" s="30" t="n">
        <x:v>38</x:v>
      </x:c>
      <x:c r="I8" s="30" t="str">
        <x:v>37</x:v>
      </x:c>
      <x:c r="J8" s="30" t="str">
        <x:v>37</x:v>
      </x:c>
      <x:c r="K8" s="30" t="str">
        <x:v>报告期内股本和股东变化</x:v>
      </x:c>
      <x:c r="L8" s="30" t="str">
        <x:v>PDF第38页/正文第37页</x:v>
      </x:c>
      <x:c r="M8" s="30" t="str">
        <x:v>源表第3项：2020-11增资，注册资本/股本由813.3983增至992.3462万元，认缴对价合计5500.0000万元。</x:v>
      </x:c>
      <x:c r="N8" s="30" t="str">
        <x:v>源表第3项：2020-11增资，注册资本/股本由813.3983增至992.3462万元，认缴对价合计5500.0000万元。</x:v>
      </x:c>
      <x:c r="O8" s="30" t="str">
        <x:v>TABLE</x:v>
      </x:c>
      <x:c r="P8" s="30" t="str">
        <x:v>586f4f3abca4d25646f47ca1854fbb0b499e2254394480a6c7360f4e069a4fab</x:v>
      </x:c>
      <x:c r="Q8" s="30" t="str">
        <x:v>event|transaction|entity|amount|ownership</x:v>
      </x:c>
      <x:c r="R8" s="73" t="str">
        <x:v>DISCLOSED</x:v>
      </x:c>
      <x:c r="S8" s="30" t="str">
        <x:v>FINAL_APPROVED</x:v>
      </x:c>
    </x:row>
    <x:row r="9">
      <x:c r="A9" s="30" t="str">
        <x:v>EVD-688726-0004</x:v>
      </x:c>
      <x:c r="B9" s="30" t="str">
        <x:v>688726</x:v>
      </x:c>
      <x:c r="C9" s="30" t="str">
        <x:v>EVT-688726-0004</x:v>
      </x:c>
      <x:c r="D9" s="30"/>
      <x:c r="E9" s="30"/>
      <x:c r="F9" s="30" t="str">
        <x:v>688726_laplace_ipo_application_20230619.pdf</x:v>
      </x:c>
      <x:c r="G9" s="30" t="n">
        <x:v>39</x:v>
      </x:c>
      <x:c r="H9" s="30" t="n">
        <x:v>39</x:v>
      </x:c>
      <x:c r="I9" s="30" t="str">
        <x:v>38</x:v>
      </x:c>
      <x:c r="J9" s="30" t="str">
        <x:v>38</x:v>
      </x:c>
      <x:c r="K9" s="30" t="str">
        <x:v>报告期内股本和股东变化</x:v>
      </x:c>
      <x:c r="L9" s="30" t="str">
        <x:v>PDF第39页/正文第38页</x:v>
      </x:c>
      <x:c r="M9" s="30" t="str">
        <x:v>源表第4项：2020-12增资，注册资本/股本由992.3462增至1102.6069万元，认缴对价合计1355.1046万元。</x:v>
      </x:c>
      <x:c r="N9" s="30" t="str">
        <x:v>源表第4项：2020-12增资，注册资本/股本由992.3462增至1102.6069万元，认缴对价合计1355.1046万元。</x:v>
      </x:c>
      <x:c r="O9" s="30" t="str">
        <x:v>TABLE</x:v>
      </x:c>
      <x:c r="P9" s="30" t="str">
        <x:v>19ec0a50140a9e8af1fc8a7115de84a26001a6085139cd64840f70f7134f50ba</x:v>
      </x:c>
      <x:c r="Q9" s="30" t="str">
        <x:v>event|transaction|entity|amount|ownership</x:v>
      </x:c>
      <x:c r="R9" s="73" t="str">
        <x:v>DISCLOSED</x:v>
      </x:c>
      <x:c r="S9" s="30" t="str">
        <x:v>FINAL_APPROVED</x:v>
      </x:c>
    </x:row>
    <x:row r="10">
      <x:c r="A10" s="30" t="str">
        <x:v>EVD-688726-0005</x:v>
      </x:c>
      <x:c r="B10" s="30" t="str">
        <x:v>688726</x:v>
      </x:c>
      <x:c r="C10" s="30" t="str">
        <x:v>EVT-688726-0005</x:v>
      </x:c>
      <x:c r="D10" s="30"/>
      <x:c r="E10" s="30"/>
      <x:c r="F10" s="30" t="str">
        <x:v>688726_laplace_ipo_application_20230619.pdf</x:v>
      </x:c>
      <x:c r="G10" s="30" t="n">
        <x:v>39</x:v>
      </x:c>
      <x:c r="H10" s="30" t="n">
        <x:v>39</x:v>
      </x:c>
      <x:c r="I10" s="30" t="str">
        <x:v>38</x:v>
      </x:c>
      <x:c r="J10" s="30" t="str">
        <x:v>38</x:v>
      </x:c>
      <x:c r="K10" s="30" t="str">
        <x:v>报告期内股本和股东变化</x:v>
      </x:c>
      <x:c r="L10" s="30" t="str">
        <x:v>PDF第39页/正文第38页</x:v>
      </x:c>
      <x:c r="M10" s="30" t="str">
        <x:v>源表第5项：2021-06股权转让6笔，可核验对价合计1152.0000万元。</x:v>
      </x:c>
      <x:c r="N10" s="30" t="str">
        <x:v>源表第5项：2021-06股权转让6笔，可核验对价合计1152.0000万元。</x:v>
      </x:c>
      <x:c r="O10" s="30" t="str">
        <x:v>TABLE</x:v>
      </x:c>
      <x:c r="P10" s="30" t="str">
        <x:v>47688e6fae1ee3a45044725629251c08dcb4abc4130cee8fcf704a05cbe36182</x:v>
      </x:c>
      <x:c r="Q10" s="30" t="str">
        <x:v>event|transaction|entity|amount|ownership</x:v>
      </x:c>
      <x:c r="R10" s="73" t="str">
        <x:v>DISCLOSED</x:v>
      </x:c>
      <x:c r="S10" s="30" t="str">
        <x:v>FINAL_APPROVED</x:v>
      </x:c>
    </x:row>
    <x:row r="11">
      <x:c r="A11" s="30" t="str">
        <x:v>EVD-688726-0006</x:v>
      </x:c>
      <x:c r="B11" s="30" t="str">
        <x:v>688726</x:v>
      </x:c>
      <x:c r="C11" s="30" t="str">
        <x:v>EVT-688726-0006</x:v>
      </x:c>
      <x:c r="D11" s="30"/>
      <x:c r="E11" s="30"/>
      <x:c r="F11" s="30" t="str">
        <x:v>688726_laplace_ipo_application_20230619.pdf</x:v>
      </x:c>
      <x:c r="G11" s="30" t="n">
        <x:v>39</x:v>
      </x:c>
      <x:c r="H11" s="30" t="n">
        <x:v>39</x:v>
      </x:c>
      <x:c r="I11" s="30" t="str">
        <x:v>38</x:v>
      </x:c>
      <x:c r="J11" s="30" t="str">
        <x:v>38</x:v>
      </x:c>
      <x:c r="K11" s="30" t="str">
        <x:v>报告期内股本和股东变化</x:v>
      </x:c>
      <x:c r="L11" s="30" t="str">
        <x:v>PDF第39页/正文第38页</x:v>
      </x:c>
      <x:c r="M11" s="30" t="str">
        <x:v>源表第6项：2021-09增资，注册资本/股本由1102.6069增至1304.7517万元，认缴对价合计33000.0000万元。</x:v>
      </x:c>
      <x:c r="N11" s="30" t="str">
        <x:v>源表第6项：2021-09增资，注册资本/股本由1102.6069增至1304.7517万元，认缴对价合计33000.0000万元。</x:v>
      </x:c>
      <x:c r="O11" s="30" t="str">
        <x:v>TABLE</x:v>
      </x:c>
      <x:c r="P11" s="30" t="str">
        <x:v>087e8397244a5cc467411c4706c5d715cb4c6076aca731af0165e0c543dd38af</x:v>
      </x:c>
      <x:c r="Q11" s="30" t="str">
        <x:v>event|transaction|entity|amount|ownership</x:v>
      </x:c>
      <x:c r="R11" s="73" t="str">
        <x:v>DISCLOSED</x:v>
      </x:c>
      <x:c r="S11" s="30" t="str">
        <x:v>FINAL_APPROVED</x:v>
      </x:c>
    </x:row>
    <x:row r="12">
      <x:c r="A12" s="30" t="str">
        <x:v>EVD-688726-0007</x:v>
      </x:c>
      <x:c r="B12" s="30" t="str">
        <x:v>688726</x:v>
      </x:c>
      <x:c r="C12" s="30" t="str">
        <x:v>EVT-688726-0007</x:v>
      </x:c>
      <x:c r="D12" s="30"/>
      <x:c r="E12" s="30"/>
      <x:c r="F12" s="30" t="str">
        <x:v>688726_laplace_ipo_application_20230619.pdf</x:v>
      </x:c>
      <x:c r="G12" s="30" t="n">
        <x:v>39</x:v>
      </x:c>
      <x:c r="H12" s="30" t="n">
        <x:v>39</x:v>
      </x:c>
      <x:c r="I12" s="30" t="str">
        <x:v>38</x:v>
      </x:c>
      <x:c r="J12" s="30" t="str">
        <x:v>38</x:v>
      </x:c>
      <x:c r="K12" s="30" t="str">
        <x:v>报告期内股本和股东变化</x:v>
      </x:c>
      <x:c r="L12" s="30" t="str">
        <x:v>PDF第39页/正文第38页</x:v>
      </x:c>
      <x:c r="M12" s="30" t="str">
        <x:v>源表第7项：2021-10股权转让4笔，可核验对价合计4500.0000万元。</x:v>
      </x:c>
      <x:c r="N12" s="30" t="str">
        <x:v>源表第7项：2021-10股权转让4笔，可核验对价合计4500.0000万元。</x:v>
      </x:c>
      <x:c r="O12" s="30" t="str">
        <x:v>TABLE</x:v>
      </x:c>
      <x:c r="P12" s="30" t="str">
        <x:v>7a2996e07650f0ae62fc0299742ba55a42f54cb3cd7fb60a115583fb6306d8c0</x:v>
      </x:c>
      <x:c r="Q12" s="30" t="str">
        <x:v>event|transaction|entity|amount|ownership</x:v>
      </x:c>
      <x:c r="R12" s="73" t="str">
        <x:v>DISCLOSED</x:v>
      </x:c>
      <x:c r="S12" s="30" t="str">
        <x:v>FINAL_APPROVED</x:v>
      </x:c>
    </x:row>
    <x:row r="13">
      <x:c r="A13" s="30" t="str">
        <x:v>EVD-688726-0008</x:v>
      </x:c>
      <x:c r="B13" s="30" t="str">
        <x:v>688726</x:v>
      </x:c>
      <x:c r="C13" s="30" t="str">
        <x:v>EVT-688726-0008</x:v>
      </x:c>
      <x:c r="D13" s="30"/>
      <x:c r="E13" s="30"/>
      <x:c r="F13" s="30" t="str">
        <x:v>688726_laplace_ipo_application_20230619.pdf</x:v>
      </x:c>
      <x:c r="G13" s="30" t="n">
        <x:v>40</x:v>
      </x:c>
      <x:c r="H13" s="30" t="n">
        <x:v>40</x:v>
      </x:c>
      <x:c r="I13" s="30" t="str">
        <x:v>39</x:v>
      </x:c>
      <x:c r="J13" s="30" t="str">
        <x:v>39</x:v>
      </x:c>
      <x:c r="K13" s="30" t="str">
        <x:v>报告期内股本和股东变化</x:v>
      </x:c>
      <x:c r="L13" s="30" t="str">
        <x:v>PDF第40页/正文第39页</x:v>
      </x:c>
      <x:c r="M13" s="30" t="str">
        <x:v>源表第8项：2021-12股权转让2笔，可核验对价合计0.0002万元。</x:v>
      </x:c>
      <x:c r="N13" s="30" t="str">
        <x:v>源表第8项：2021-12股权转让2笔，可核验对价合计0.0002万元。</x:v>
      </x:c>
      <x:c r="O13" s="30" t="str">
        <x:v>TABLE</x:v>
      </x:c>
      <x:c r="P13" s="30" t="str">
        <x:v>f40835888687ab827535448e8452178f5c8117cd394a7c8979fd4270558d2387</x:v>
      </x:c>
      <x:c r="Q13" s="30" t="str">
        <x:v>event|transaction|entity|amount|ownership</x:v>
      </x:c>
      <x:c r="R13" s="73" t="str">
        <x:v>DISCLOSED</x:v>
      </x:c>
      <x:c r="S13" s="30" t="str">
        <x:v>FINAL_APPROVED</x:v>
      </x:c>
    </x:row>
    <x:row r="14">
      <x:c r="A14" s="30" t="str">
        <x:v>EVD-688726-0009</x:v>
      </x:c>
      <x:c r="B14" s="30" t="str">
        <x:v>688726</x:v>
      </x:c>
      <x:c r="C14" s="30" t="str">
        <x:v>EVT-688726-0009</x:v>
      </x:c>
      <x:c r="D14" s="30"/>
      <x:c r="E14" s="30"/>
      <x:c r="F14" s="30" t="str">
        <x:v>688726_laplace_ipo_application_20230619.pdf</x:v>
      </x:c>
      <x:c r="G14" s="30" t="n">
        <x:v>40</x:v>
      </x:c>
      <x:c r="H14" s="30" t="n">
        <x:v>40</x:v>
      </x:c>
      <x:c r="I14" s="30" t="str">
        <x:v>39</x:v>
      </x:c>
      <x:c r="J14" s="30" t="str">
        <x:v>39</x:v>
      </x:c>
      <x:c r="K14" s="30" t="str">
        <x:v>报告期内股本和股东变化</x:v>
      </x:c>
      <x:c r="L14" s="30" t="str">
        <x:v>PDF第40页/正文第39页</x:v>
      </x:c>
      <x:c r="M14" s="30" t="str">
        <x:v>源表第9项：2021-12增资，注册资本/股本由1304.7517增至1384.3845万元，认缴对价合计13000.0000万元。</x:v>
      </x:c>
      <x:c r="N14" s="30" t="str">
        <x:v>源表第9项：2021-12增资，注册资本/股本由1304.7517增至1384.3845万元，认缴对价合计13000.0000万元。</x:v>
      </x:c>
      <x:c r="O14" s="30" t="str">
        <x:v>TABLE</x:v>
      </x:c>
      <x:c r="P14" s="30" t="str">
        <x:v>caeda03a4a962041773df95ef74ecf6c62dbd8c41c1e063e0ae69f04070a6f8d</x:v>
      </x:c>
      <x:c r="Q14" s="30" t="str">
        <x:v>event|transaction|entity|amount|ownership</x:v>
      </x:c>
      <x:c r="R14" s="73" t="str">
        <x:v>DISCLOSED</x:v>
      </x:c>
      <x:c r="S14" s="30" t="str">
        <x:v>FINAL_APPROVED</x:v>
      </x:c>
    </x:row>
    <x:row r="15">
      <x:c r="A15" s="30" t="str">
        <x:v>EVD-688726-0010</x:v>
      </x:c>
      <x:c r="B15" s="30" t="str">
        <x:v>688726</x:v>
      </x:c>
      <x:c r="C15" s="30" t="str">
        <x:v>EVT-688726-0010</x:v>
      </x:c>
      <x:c r="D15" s="30"/>
      <x:c r="E15" s="30"/>
      <x:c r="F15" s="30" t="str">
        <x:v>688726_laplace_ipo_application_20230619.pdf</x:v>
      </x:c>
      <x:c r="G15" s="30" t="n">
        <x:v>40</x:v>
      </x:c>
      <x:c r="H15" s="30" t="n">
        <x:v>40</x:v>
      </x:c>
      <x:c r="I15" s="30" t="str">
        <x:v>39</x:v>
      </x:c>
      <x:c r="J15" s="30" t="str">
        <x:v>39</x:v>
      </x:c>
      <x:c r="K15" s="30" t="str">
        <x:v>报告期内股本和股东变化</x:v>
      </x:c>
      <x:c r="L15" s="30" t="str">
        <x:v>PDF第40页/正文第39页</x:v>
      </x:c>
      <x:c r="M15" s="30" t="str">
        <x:v>源表第10项：2022-04股权转让3笔，可核验对价合计8000.0000万元。</x:v>
      </x:c>
      <x:c r="N15" s="30" t="str">
        <x:v>源表第10项：2022-04股权转让3笔，可核验对价合计8000.0000万元。</x:v>
      </x:c>
      <x:c r="O15" s="30" t="str">
        <x:v>TABLE</x:v>
      </x:c>
      <x:c r="P15" s="30" t="str">
        <x:v>a2808cd26dbf8e87161647d848f9e2161d9badb52eda7914c60ae39f138a83d1</x:v>
      </x:c>
      <x:c r="Q15" s="30" t="str">
        <x:v>event|transaction|entity|amount|ownership</x:v>
      </x:c>
      <x:c r="R15" s="73" t="str">
        <x:v>DISCLOSED</x:v>
      </x:c>
      <x:c r="S15" s="30" t="str">
        <x:v>FINAL_APPROVED</x:v>
      </x:c>
    </x:row>
    <x:row r="16">
      <x:c r="A16" s="30" t="str">
        <x:v>EVD-688726-0011</x:v>
      </x:c>
      <x:c r="B16" s="30" t="str">
        <x:v>688726</x:v>
      </x:c>
      <x:c r="C16" s="30" t="str">
        <x:v>EVT-688726-0011</x:v>
      </x:c>
      <x:c r="D16" s="30"/>
      <x:c r="E16" s="30"/>
      <x:c r="F16" s="30" t="str">
        <x:v>688726_laplace_ipo_application_20230619.pdf</x:v>
      </x:c>
      <x:c r="G16" s="30" t="n">
        <x:v>40</x:v>
      </x:c>
      <x:c r="H16" s="30" t="n">
        <x:v>40</x:v>
      </x:c>
      <x:c r="I16" s="30" t="str">
        <x:v>39</x:v>
      </x:c>
      <x:c r="J16" s="30" t="str">
        <x:v>39</x:v>
      </x:c>
      <x:c r="K16" s="30" t="str">
        <x:v>报告期内股本和股东变化</x:v>
      </x:c>
      <x:c r="L16" s="30" t="str">
        <x:v>PDF第40页/正文第39页</x:v>
      </x:c>
      <x:c r="M16" s="30" t="str">
        <x:v>源表第11项：2022-05股权转让2笔，可核验对价合计2300.0000万元。</x:v>
      </x:c>
      <x:c r="N16" s="30" t="str">
        <x:v>源表第11项：2022-05股权转让2笔，可核验对价合计2300.0000万元。</x:v>
      </x:c>
      <x:c r="O16" s="30" t="str">
        <x:v>TABLE</x:v>
      </x:c>
      <x:c r="P16" s="30" t="str">
        <x:v>e2ec0be3c887b7049224042a7b3e7b575372538691cf1cad73c16bf0c299e67e</x:v>
      </x:c>
      <x:c r="Q16" s="30" t="str">
        <x:v>event|transaction|entity|amount|ownership</x:v>
      </x:c>
      <x:c r="R16" s="73" t="str">
        <x:v>DISCLOSED</x:v>
      </x:c>
      <x:c r="S16" s="30" t="str">
        <x:v>FINAL_APPROVED</x:v>
      </x:c>
    </x:row>
    <x:row r="17">
      <x:c r="A17" s="30" t="str">
        <x:v>EVD-688726-0012</x:v>
      </x:c>
      <x:c r="B17" s="30" t="str">
        <x:v>688726</x:v>
      </x:c>
      <x:c r="C17" s="30" t="str">
        <x:v>EVT-688726-0012</x:v>
      </x:c>
      <x:c r="D17" s="30"/>
      <x:c r="E17" s="30"/>
      <x:c r="F17" s="30" t="str">
        <x:v>688726_laplace_ipo_application_20230619.pdf</x:v>
      </x:c>
      <x:c r="G17" s="30" t="n">
        <x:v>40</x:v>
      </x:c>
      <x:c r="H17" s="30" t="n">
        <x:v>40</x:v>
      </x:c>
      <x:c r="I17" s="30" t="str">
        <x:v>39</x:v>
      </x:c>
      <x:c r="J17" s="30" t="str">
        <x:v>39</x:v>
      </x:c>
      <x:c r="K17" s="30" t="str">
        <x:v>报告期内股本和股东变化</x:v>
      </x:c>
      <x:c r="L17" s="30" t="str">
        <x:v>PDF第40页/正文第39页</x:v>
      </x:c>
      <x:c r="M17" s="30" t="str">
        <x:v>源表第12项：2022-05增资，注册资本/股本由1384.3845增至1390.5101万元，认缴对价合计1000.0000万元。</x:v>
      </x:c>
      <x:c r="N17" s="30" t="str">
        <x:v>源表第12项：2022-05增资，注册资本/股本由1384.3845增至1390.5101万元，认缴对价合计1000.0000万元。</x:v>
      </x:c>
      <x:c r="O17" s="30" t="str">
        <x:v>TABLE</x:v>
      </x:c>
      <x:c r="P17" s="30" t="str">
        <x:v>8dd9299c0797a5bb266a3dda853084cebe8ef2decb354e2ac8468c0c8e9007a9</x:v>
      </x:c>
      <x:c r="Q17" s="30" t="str">
        <x:v>event|transaction|entity|amount|ownership</x:v>
      </x:c>
      <x:c r="R17" s="73" t="str">
        <x:v>DISCLOSED</x:v>
      </x:c>
      <x:c r="S17" s="30" t="str">
        <x:v>FINAL_APPROVED</x:v>
      </x:c>
    </x:row>
    <x:row r="18">
      <x:c r="A18" s="30" t="str">
        <x:v>EVD-688726-0013</x:v>
      </x:c>
      <x:c r="B18" s="30" t="str">
        <x:v>688726</x:v>
      </x:c>
      <x:c r="C18" s="30" t="str">
        <x:v>EVT-688726-0013</x:v>
      </x:c>
      <x:c r="D18" s="30"/>
      <x:c r="E18" s="30"/>
      <x:c r="F18" s="30" t="str">
        <x:v>688726_laplace_ipo_application_20230619.pdf</x:v>
      </x:c>
      <x:c r="G18" s="30" t="n">
        <x:v>40</x:v>
      </x:c>
      <x:c r="H18" s="30" t="n">
        <x:v>40</x:v>
      </x:c>
      <x:c r="I18" s="30" t="str">
        <x:v>39</x:v>
      </x:c>
      <x:c r="J18" s="30" t="str">
        <x:v>39</x:v>
      </x:c>
      <x:c r="K18" s="30" t="str">
        <x:v>报告期内股本和股东变化</x:v>
      </x:c>
      <x:c r="L18" s="30" t="str">
        <x:v>PDF第40页/正文第39页</x:v>
      </x:c>
      <x:c r="M18" s="30" t="str">
        <x:v>源表第13项：2022-07增资，注册资本/股本由1390.5101增至1422.7699万元，认缴对价合计11600.0000万元。</x:v>
      </x:c>
      <x:c r="N18" s="30" t="str">
        <x:v>源表第13项：2022-07增资，注册资本/股本由1390.5101增至1422.7699万元，认缴对价合计11600.0000万元。</x:v>
      </x:c>
      <x:c r="O18" s="30" t="str">
        <x:v>TABLE</x:v>
      </x:c>
      <x:c r="P18" s="30" t="str">
        <x:v>c3a99b88aa4e5c8f40593b042ad761f4f2306f7b5850e815d57e89dcffb73015</x:v>
      </x:c>
      <x:c r="Q18" s="30" t="str">
        <x:v>event|transaction|entity|amount|ownership</x:v>
      </x:c>
      <x:c r="R18" s="73" t="str">
        <x:v>DISCLOSED</x:v>
      </x:c>
      <x:c r="S18" s="30" t="str">
        <x:v>FINAL_APPROVED</x:v>
      </x:c>
    </x:row>
    <x:row r="19">
      <x:c r="A19" s="30" t="str">
        <x:v>EVD-688726-0014</x:v>
      </x:c>
      <x:c r="B19" s="30" t="str">
        <x:v>688726</x:v>
      </x:c>
      <x:c r="C19" s="30" t="str">
        <x:v>EVT-688726-0014</x:v>
      </x:c>
      <x:c r="D19" s="30"/>
      <x:c r="E19" s="30"/>
      <x:c r="F19" s="30" t="str">
        <x:v>688726_laplace_ipo_application_20230619.pdf</x:v>
      </x:c>
      <x:c r="G19" s="30" t="n">
        <x:v>40</x:v>
      </x:c>
      <x:c r="H19" s="30" t="n">
        <x:v>40</x:v>
      </x:c>
      <x:c r="I19" s="30" t="str">
        <x:v>39</x:v>
      </x:c>
      <x:c r="J19" s="30" t="str">
        <x:v>39</x:v>
      </x:c>
      <x:c r="K19" s="30" t="str">
        <x:v>报告期内股本和股东变化</x:v>
      </x:c>
      <x:c r="L19" s="30" t="str">
        <x:v>PDF第40页/正文第39页</x:v>
      </x:c>
      <x:c r="M19" s="30" t="str">
        <x:v>源表第14项：2022-07增资，注册资本/股本由1422.7699增至1466.9882万元，认缴对价合计15900.0000万元。</x:v>
      </x:c>
      <x:c r="N19" s="30" t="str">
        <x:v>源表第14项：2022-07增资，注册资本/股本由1422.7699增至1466.9882万元，认缴对价合计15900.0000万元。</x:v>
      </x:c>
      <x:c r="O19" s="30" t="str">
        <x:v>TABLE</x:v>
      </x:c>
      <x:c r="P19" s="30" t="str">
        <x:v>dfaf8c77902aa8ab9a32c71930ec84ae6c799a63c2e191c2e2df69936aaea130</x:v>
      </x:c>
      <x:c r="Q19" s="30" t="str">
        <x:v>event|transaction|entity|amount|ownership</x:v>
      </x:c>
      <x:c r="R19" s="73" t="str">
        <x:v>DISCLOSED</x:v>
      </x:c>
      <x:c r="S19" s="30" t="str">
        <x:v>FINAL_APPROVED</x:v>
      </x:c>
    </x:row>
    <x:row r="20">
      <x:c r="A20" s="30" t="str">
        <x:v>EVD-688726-0015</x:v>
      </x:c>
      <x:c r="B20" s="30" t="str">
        <x:v>688726</x:v>
      </x:c>
      <x:c r="C20" s="30" t="str">
        <x:v>EVT-688726-0015</x:v>
      </x:c>
      <x:c r="D20" s="30"/>
      <x:c r="E20" s="30"/>
      <x:c r="F20" s="30" t="str">
        <x:v>688726_laplace_ipo_application_20230619.pdf</x:v>
      </x:c>
      <x:c r="G20" s="30" t="n">
        <x:v>41</x:v>
      </x:c>
      <x:c r="H20" s="30" t="n">
        <x:v>41</x:v>
      </x:c>
      <x:c r="I20" s="30" t="str">
        <x:v>40</x:v>
      </x:c>
      <x:c r="J20" s="30" t="str">
        <x:v>40</x:v>
      </x:c>
      <x:c r="K20" s="30" t="str">
        <x:v>报告期内股本和股东变化</x:v>
      </x:c>
      <x:c r="L20" s="30" t="str">
        <x:v>PDF第41页/正文第40页</x:v>
      </x:c>
      <x:c r="M20" s="30" t="str">
        <x:v>源表第15项：2022-08股权转让5笔，可核验对价合计19873.5127万元。</x:v>
      </x:c>
      <x:c r="N20" s="30" t="str">
        <x:v>源表第15项：2022-08股权转让5笔，可核验对价合计19873.5127万元。</x:v>
      </x:c>
      <x:c r="O20" s="30" t="str">
        <x:v>TABLE</x:v>
      </x:c>
      <x:c r="P20" s="30" t="str">
        <x:v>ff542577ea8ecb0a0ff3dfd9602d116162d69fbc4af0a509a9560e203a4ef29d</x:v>
      </x:c>
      <x:c r="Q20" s="30" t="str">
        <x:v>event|transaction|entity|amount|ownership</x:v>
      </x:c>
      <x:c r="R20" s="73" t="str">
        <x:v>DISCLOSED</x:v>
      </x:c>
      <x:c r="S20" s="30" t="str">
        <x:v>FINAL_APPROVED</x:v>
      </x:c>
    </x:row>
    <x:row r="21">
      <x:c r="A21" s="30" t="str">
        <x:v>EVD-688726-0016</x:v>
      </x:c>
      <x:c r="B21" s="30" t="str">
        <x:v>688726</x:v>
      </x:c>
      <x:c r="C21" s="30" t="str">
        <x:v>EVT-688726-0016</x:v>
      </x:c>
      <x:c r="D21" s="30"/>
      <x:c r="E21" s="30"/>
      <x:c r="F21" s="30" t="str">
        <x:v>688726_laplace_ipo_application_20230619.pdf</x:v>
      </x:c>
      <x:c r="G21" s="30" t="n">
        <x:v>41</x:v>
      </x:c>
      <x:c r="H21" s="30" t="n">
        <x:v>41</x:v>
      </x:c>
      <x:c r="I21" s="30" t="str">
        <x:v>40</x:v>
      </x:c>
      <x:c r="J21" s="30" t="str">
        <x:v>40</x:v>
      </x:c>
      <x:c r="K21" s="30" t="str">
        <x:v>报告期内股本和股东变化</x:v>
      </x:c>
      <x:c r="L21" s="30" t="str">
        <x:v>PDF第41页/正文第40页</x:v>
      </x:c>
      <x:c r="M21" s="30" t="str">
        <x:v>源表第16项：2022-08增资，注册资本/股本由1466.9882增至1518.1590万元，认缴对价合计9200.0000万元。</x:v>
      </x:c>
      <x:c r="N21" s="30" t="str">
        <x:v>源表第16项：2022-08增资，注册资本/股本由1466.9882增至1518.1590万元，认缴对价合计9200.0000万元。</x:v>
      </x:c>
      <x:c r="O21" s="30" t="str">
        <x:v>TABLE</x:v>
      </x:c>
      <x:c r="P21" s="30" t="str">
        <x:v>f2ec90bda36d241fbef3288fa12051f504203a7e5a5913a7aa6121562f0e85ab</x:v>
      </x:c>
      <x:c r="Q21" s="30" t="str">
        <x:v>event|transaction|entity|amount|ownership</x:v>
      </x:c>
      <x:c r="R21" s="73" t="str">
        <x:v>DISCLOSED</x:v>
      </x:c>
      <x:c r="S21" s="30" t="str">
        <x:v>FINAL_APPROVED</x:v>
      </x:c>
    </x:row>
    <x:row r="22">
      <x:c r="A22" s="30" t="str">
        <x:v>EVD-688726-0017</x:v>
      </x:c>
      <x:c r="B22" s="30" t="str">
        <x:v>688726</x:v>
      </x:c>
      <x:c r="C22" s="30" t="str">
        <x:v>EVT-688726-0017</x:v>
      </x:c>
      <x:c r="D22" s="30"/>
      <x:c r="E22" s="30"/>
      <x:c r="F22" s="30" t="str">
        <x:v>688726_laplace_ipo_application_20230619.pdf</x:v>
      </x:c>
      <x:c r="G22" s="30" t="n">
        <x:v>41</x:v>
      </x:c>
      <x:c r="H22" s="30" t="n">
        <x:v>41</x:v>
      </x:c>
      <x:c r="I22" s="30" t="str">
        <x:v>40</x:v>
      </x:c>
      <x:c r="J22" s="30" t="str">
        <x:v>40</x:v>
      </x:c>
      <x:c r="K22" s="30" t="str">
        <x:v>报告期内股本和股东变化</x:v>
      </x:c>
      <x:c r="L22" s="30" t="str">
        <x:v>PDF第41页/正文第40页</x:v>
      </x:c>
      <x:c r="M22" s="30" t="str">
        <x:v>源表第17项：2022-11股权转让3笔，可核验对价合计7005.8789万元。</x:v>
      </x:c>
      <x:c r="N22" s="30" t="str">
        <x:v>源表第17项：2022-11股权转让3笔，可核验对价合计7005.8789万元。</x:v>
      </x:c>
      <x:c r="O22" s="30" t="str">
        <x:v>TABLE</x:v>
      </x:c>
      <x:c r="P22" s="30" t="str">
        <x:v>12cdf6be18ae6f4592e22db0954e0fc083366b8c720a918a52320f488d3ae535</x:v>
      </x:c>
      <x:c r="Q22" s="30" t="str">
        <x:v>event|transaction|entity|amount|ownership</x:v>
      </x:c>
      <x:c r="R22" s="73" t="str">
        <x:v>DISCLOSED</x:v>
      </x:c>
      <x:c r="S22" s="30" t="str">
        <x:v>FINAL_APPROVED</x:v>
      </x:c>
    </x:row>
    <x:row r="23">
      <x:c r="A23" s="30" t="str">
        <x:v>EVD-688726-0018</x:v>
      </x:c>
      <x:c r="B23" s="30" t="str">
        <x:v>688726</x:v>
      </x:c>
      <x:c r="C23" s="30" t="str">
        <x:v>EVT-688726-0018</x:v>
      </x:c>
      <x:c r="D23" s="30"/>
      <x:c r="E23" s="30"/>
      <x:c r="F23" s="30" t="str">
        <x:v>688726_laplace_ipo_application_20230619.pdf</x:v>
      </x:c>
      <x:c r="G23" s="30" t="n">
        <x:v>41</x:v>
      </x:c>
      <x:c r="H23" s="30" t="n">
        <x:v>41</x:v>
      </x:c>
      <x:c r="I23" s="30" t="str">
        <x:v>40</x:v>
      </x:c>
      <x:c r="J23" s="30" t="str">
        <x:v>40</x:v>
      </x:c>
      <x:c r="K23" s="30" t="str">
        <x:v>报告期内股本和股东变化</x:v>
      </x:c>
      <x:c r="L23" s="30" t="str">
        <x:v>PDF第41页/正文第40页</x:v>
      </x:c>
      <x:c r="M23" s="30" t="str">
        <x:v>源表第18项：2022-12增资，注册资本/股本由1518.1590增至1665.4205万元，认缴对价合计67900.0000万元。</x:v>
      </x:c>
      <x:c r="N23" s="30" t="str">
        <x:v>源表第18项：2022-12增资，注册资本/股本由1518.1590增至1665.4205万元，认缴对价合计67900.0000万元。</x:v>
      </x:c>
      <x:c r="O23" s="30" t="str">
        <x:v>TABLE</x:v>
      </x:c>
      <x:c r="P23" s="30" t="str">
        <x:v>e5ac579babeafdb3762212843c3cdf87d3a9257da102a4fdf2ec6b76cbe86995</x:v>
      </x:c>
      <x:c r="Q23" s="30" t="str">
        <x:v>event|transaction|entity|amount|ownership</x:v>
      </x:c>
      <x:c r="R23" s="73" t="str">
        <x:v>DISCLOSED</x:v>
      </x:c>
      <x:c r="S23" s="30" t="str">
        <x:v>FINAL_APPROVED</x:v>
      </x:c>
    </x:row>
    <x:row r="24">
      <x:c r="A24" s="30" t="str">
        <x:v>EVD-688726-0019</x:v>
      </x:c>
      <x:c r="B24" s="30" t="str">
        <x:v>688726</x:v>
      </x:c>
      <x:c r="C24" s="30" t="str">
        <x:v>EVT-688726-0019</x:v>
      </x:c>
      <x:c r="D24" s="30"/>
      <x:c r="E24" s="30"/>
      <x:c r="F24" s="30" t="str">
        <x:v>688726_laplace_ipo_application_20230619.pdf</x:v>
      </x:c>
      <x:c r="G24" s="30" t="n">
        <x:v>41</x:v>
      </x:c>
      <x:c r="H24" s="30" t="n">
        <x:v>41</x:v>
      </x:c>
      <x:c r="I24" s="30" t="str">
        <x:v>40</x:v>
      </x:c>
      <x:c r="J24" s="30" t="str">
        <x:v>40</x:v>
      </x:c>
      <x:c r="K24" s="30" t="str">
        <x:v>报告期内股本和股东变化</x:v>
      </x:c>
      <x:c r="L24" s="30" t="str">
        <x:v>PDF第41页/正文第40页</x:v>
      </x:c>
      <x:c r="M24" s="30" t="str">
        <x:v>源表第19项：2022年12月资本公积转增股本，股本由1,665.4205万股增至36,000万股。</x:v>
      </x:c>
      <x:c r="N24" s="30" t="str">
        <x:v>源表第19项：2022年12月资本公积转增股本，股本由1,665.4205万股增至36,000万股。</x:v>
      </x:c>
      <x:c r="O24" s="30" t="str">
        <x:v>TABLE</x:v>
      </x:c>
      <x:c r="P24" s="30" t="str">
        <x:v>7ca27e741a0c87deca46c5cce72d4a2d1ba9d5aa4d23d1cc6b93ddf7254bcf86</x:v>
      </x:c>
      <x:c r="Q24" s="30" t="str">
        <x:v>event|transaction|entity|amount|ownership</x:v>
      </x:c>
      <x:c r="R24" s="73" t="str">
        <x:v>DISCLOSED</x:v>
      </x:c>
      <x:c r="S24" s="30" t="str">
        <x:v>FINAL_APPROVED</x:v>
      </x:c>
    </x:row>
    <x:row r="25">
      <x:c r="A25" s="30" t="str">
        <x:v>EVD-688726-0020</x:v>
      </x:c>
      <x:c r="B25" s="30" t="str">
        <x:v>688726</x:v>
      </x:c>
      <x:c r="C25" s="30" t="str">
        <x:v>EVT-688726-0020</x:v>
      </x:c>
      <x:c r="D25" s="30"/>
      <x:c r="E25" s="30"/>
      <x:c r="F25" s="30" t="str">
        <x:v>688726_laplace_ipo_application_20230619.pdf</x:v>
      </x:c>
      <x:c r="G25" s="30" t="n">
        <x:v>41</x:v>
      </x:c>
      <x:c r="H25" s="30" t="n">
        <x:v>41</x:v>
      </x:c>
      <x:c r="I25" s="30" t="str">
        <x:v>40</x:v>
      </x:c>
      <x:c r="J25" s="30" t="str">
        <x:v>40</x:v>
      </x:c>
      <x:c r="K25" s="30" t="str">
        <x:v>报告期内股本和股东变化</x:v>
      </x:c>
      <x:c r="L25" s="30" t="str">
        <x:v>PDF第41页/正文第40页</x:v>
      </x:c>
      <x:c r="M25" s="30" t="str">
        <x:v>源表第20项：2022-12增资，注册资本/股本由36000.0000增至36479.3570万元，认缴对价合计3987.0000万元。</x:v>
      </x:c>
      <x:c r="N25" s="30" t="str">
        <x:v>源表第20项：2022-12增资，注册资本/股本由36000.0000增至36479.3570万元，认缴对价合计3987.0000万元。</x:v>
      </x:c>
      <x:c r="O25" s="30" t="str">
        <x:v>TABLE</x:v>
      </x:c>
      <x:c r="P25" s="30" t="str">
        <x:v>d830c19a75baba7597920684228a229e22158c402eac106d2e3306c226ffd8dd</x:v>
      </x:c>
      <x:c r="Q25" s="30" t="str">
        <x:v>event|transaction|entity|amount|ownership</x:v>
      </x:c>
      <x:c r="R25" s="73" t="str">
        <x:v>DISCLOSED</x:v>
      </x:c>
      <x:c r="S25" s="30" t="str">
        <x:v>FINAL_APPROVED</x:v>
      </x:c>
    </x:row>
    <x:row r="26">
      <x:c r="A26" s="30" t="str">
        <x:v>EVD-688726-0098</x:v>
      </x:c>
      <x:c r="B26" s="30" t="str">
        <x:v>688726</x:v>
      </x:c>
      <x:c r="C26" s="30" t="str">
        <x:v>EVT-688726-OC</x:v>
      </x:c>
      <x:c r="D26" s="30"/>
      <x:c r="E26" s="30"/>
      <x:c r="F26" s="30" t="str">
        <x:v>688726_laplace_ipo_application_20230619.pdf</x:v>
      </x:c>
      <x:c r="G26" s="30" t="n">
        <x:v>35</x:v>
      </x:c>
      <x:c r="H26" s="30" t="n">
        <x:v>35</x:v>
      </x:c>
      <x:c r="I26" s="30" t="str">
        <x:v>34</x:v>
      </x:c>
      <x:c r="J26" s="30" t="str">
        <x:v>34</x:v>
      </x:c>
      <x:c r="K26" s="30" t="str">
        <x:v>股份公司设立情况</x:v>
      </x:c>
      <x:c r="L26" s="30" t="str">
        <x:v>PDF第35页/正文第34页</x:v>
      </x:c>
      <x:c r="M26" s="30" t="str">
        <x:v>2022年11月24日整体变更为股份公司，折合股本1,518.1590万股。</x:v>
      </x:c>
      <x:c r="N26" s="30" t="str">
        <x:v>2022年11月24日整体变更为股份公司，折合股本1,518.1590万股。</x:v>
      </x:c>
      <x:c r="O26" s="30" t="str">
        <x:v>TABLE</x:v>
      </x:c>
      <x:c r="P26" s="30" t="str">
        <x:v>7db9606f4f2637d05b0bde61d46ea9297199112f54552a6de4353a76e2a45f3a</x:v>
      </x:c>
      <x:c r="Q26" s="30" t="str">
        <x:v>event|transaction|entity|amount|ownership</x:v>
      </x:c>
      <x:c r="R26" s="73" t="str">
        <x:v>DISCLOSED</x:v>
      </x:c>
      <x:c r="S26" s="30" t="str">
        <x:v>FINAL_APPROVED</x:v>
      </x:c>
    </x:row>
    <x:row r="27">
      <x:c r="A27" s="30" t="str">
        <x:v>EVD-688726-0099</x:v>
      </x:c>
      <x:c r="B27" s="30" t="str">
        <x:v>688726</x:v>
      </x:c>
      <x:c r="C27" s="30"/>
      <x:c r="D27" s="30"/>
      <x:c r="E27" s="30"/>
      <x:c r="F27" s="30" t="str">
        <x:v>688726_laplace_ipo_application_20230619.pdf</x:v>
      </x:c>
      <x:c r="G27" s="30" t="n">
        <x:v>121</x:v>
      </x:c>
      <x:c r="H27" s="30" t="n">
        <x:v>121</x:v>
      </x:c>
      <x:c r="I27" s="30" t="str">
        <x:v>120</x:v>
      </x:c>
      <x:c r="J27" s="30" t="str">
        <x:v>120</x:v>
      </x:c>
      <x:c r="K27" s="30" t="str">
        <x:v>申报时存在私募投资基金等金融产品股东的情况</x:v>
      </x:c>
      <x:c r="L27" s="30" t="str">
        <x:v>PDF第121页/正文第120页</x:v>
      </x:c>
      <x:c r="M27" s="30" t="str">
        <x:v>招股书列明29名机构股东均已在中国证券投资基金业协会完成私募基金备案，并逐一披露基金编号及管理人。</x:v>
      </x:c>
      <x:c r="N27" s="30" t="str">
        <x:v>招股书列明29名机构股东均已在中国证券投资基金业协会完成私募基金备案，并逐一披露基金编号及管理人。</x:v>
      </x:c>
      <x:c r="O27" s="30" t="str">
        <x:v>TABLE</x:v>
      </x:c>
      <x:c r="P27" s="30" t="str">
        <x:v>1096859019cafedc2a4ef0b6f18a202538de19da16e53413c349bf92a92c2c20</x:v>
      </x:c>
      <x:c r="Q27" s="30" t="str">
        <x:v>event|transaction|entity|amount|ownership</x:v>
      </x:c>
      <x:c r="R27" s="73" t="str">
        <x:v>DISCLOSED</x:v>
      </x:c>
      <x:c r="S27" s="30" t="str">
        <x:v>FINAL_APPROVED</x:v>
      </x:c>
    </x:row>
    <x:row r="28">
      <x:c r="A28" s="31" t="str">
        <x:v>EVD-688726-0100</x:v>
      </x:c>
      <x:c r="B28" s="31" t="str">
        <x:v>688726</x:v>
      </x:c>
      <x:c r="C28" s="31"/>
      <x:c r="D28" s="31"/>
      <x:c r="E28" s="31"/>
      <x:c r="F28" s="31" t="str">
        <x:v>688726_laplace_ipo_application_20230619.pdf</x:v>
      </x:c>
      <x:c r="G28" s="31" t="n">
        <x:v>120</x:v>
      </x:c>
      <x:c r="H28" s="31" t="n">
        <x:v>120</x:v>
      </x:c>
      <x:c r="I28" s="31" t="str">
        <x:v>119</x:v>
      </x:c>
      <x:c r="J28" s="31" t="str">
        <x:v>119</x:v>
      </x:c>
      <x:c r="K28" s="31" t="str">
        <x:v>申报时存在私募投资基金等金融产品股东的情况</x:v>
      </x:c>
      <x:c r="L28" s="31" t="str">
        <x:v>PDF第120页/正文第119页</x:v>
      </x:c>
      <x:c r="M28" s="31" t="str">
        <x:v>招股书列明17名机构股东无需私募基金备案，其中包括员工持股平台、自有投资平台及未对外募集资金的平台。</x:v>
      </x:c>
      <x:c r="N28" s="31" t="str">
        <x:v>招股书列明17名机构股东无需私募基金备案，其中包括员工持股平台、自有投资平台及未对外募集资金的平台。</x:v>
      </x:c>
      <x:c r="O28" s="31" t="str">
        <x:v>TABLE</x:v>
      </x:c>
      <x:c r="P28" s="31" t="str">
        <x:v>b317598b60b97c492022fe85ae1d5a2bde28c474bcc5b314f221ce5e5d5bd594</x:v>
      </x:c>
      <x:c r="Q28" s="31" t="str">
        <x:v>event|transaction|entity|amount|ownership</x:v>
      </x:c>
      <x:c r="R28" s="74" t="str">
        <x:v>DISCLOSED</x:v>
      </x:c>
      <x:c r="S28" s="31" t="str">
        <x:v>FINAL_APPROVED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8" hidden="0" customWidth="1"/>
    <x:col min="13" max="13" width="24" hidden="0" customWidth="1"/>
    <x:col min="14" max="14" width="18" hidden="0" customWidth="1"/>
    <x:col min="15" max="15" width="24" hidden="0" customWidth="1"/>
    <x:col min="16" max="16" width="18" hidden="0" customWidth="1"/>
    <x:col min="17" max="17" width="24" hidden="0" customWidth="1"/>
    <x:col min="18" max="18" width="48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 ht="30" customHeight="1">
      <x:c r="A1" s="3" t="str">
        <x:v>numeric_validation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30" customHeight="1">
      <x:c r="A4" s="19" t="str">
        <x:v>validation_id</x:v>
      </x:c>
      <x:c r="B4" s="20" t="str">
        <x:v>company_id</x:v>
      </x:c>
      <x:c r="C4" s="20" t="str">
        <x:v>event_id</x:v>
      </x:c>
      <x:c r="D4" s="20" t="str">
        <x:v>transaction_id</x:v>
      </x:c>
      <x:c r="E4" s="20" t="str">
        <x:v>validation_object</x:v>
      </x:c>
      <x:c r="F4" s="20" t="str">
        <x:v>validation_rule</x:v>
      </x:c>
      <x:c r="G4" s="20" t="str">
        <x:v>standard_unit</x:v>
      </x:c>
      <x:c r="H4" s="20" t="str">
        <x:v>disclosed_value</x:v>
      </x:c>
      <x:c r="I4" s="20" t="str">
        <x:v>disclosed_value_status</x:v>
      </x:c>
      <x:c r="J4" s="20" t="str">
        <x:v>standardized_value</x:v>
      </x:c>
      <x:c r="K4" s="20" t="str">
        <x:v>standardized_value_status</x:v>
      </x:c>
      <x:c r="L4" s="20" t="str">
        <x:v>calculated_value</x:v>
      </x:c>
      <x:c r="M4" s="20" t="str">
        <x:v>calculated_value_status</x:v>
      </x:c>
      <x:c r="N4" s="20" t="str">
        <x:v>difference_value</x:v>
      </x:c>
      <x:c r="O4" s="20" t="str">
        <x:v>difference_value_status</x:v>
      </x:c>
      <x:c r="P4" s="20" t="str">
        <x:v>relative_difference</x:v>
      </x:c>
      <x:c r="Q4" s="20" t="str">
        <x:v>relative_difference_status</x:v>
      </x:c>
      <x:c r="R4" s="20" t="str">
        <x:v>formula</x:v>
      </x:c>
      <x:c r="S4" s="20" t="str">
        <x:v>input_values</x:v>
      </x:c>
      <x:c r="T4" s="20" t="str">
        <x:v>absolute_tolerance</x:v>
      </x:c>
      <x:c r="U4" s="20" t="str">
        <x:v>relative_tolerance</x:v>
      </x:c>
      <x:c r="V4" s="20" t="str">
        <x:v>value_source_type</x:v>
      </x:c>
      <x:c r="W4" s="20" t="str">
        <x:v>record_origin</x:v>
      </x:c>
      <x:c r="X4" s="20" t="str">
        <x:v>evidence_id</x:v>
      </x:c>
      <x:c r="Y4" s="20" t="str">
        <x:v>validation_result</x:v>
      </x:c>
      <x:c r="Z4" s="21" t="str">
        <x:v>review_status</x:v>
      </x:c>
    </x:row>
    <x:row r="5">
      <x:c r="A5" s="29" t="str">
        <x:v>VAL-688726-0001</x:v>
      </x:c>
      <x:c r="B5" s="29" t="str">
        <x:v>688726</x:v>
      </x:c>
      <x:c r="C5" s="29" t="str">
        <x:v>EVT-688726-0001</x:v>
      </x:c>
      <x:c r="D5" s="29" t="str">
        <x:v>TRX-688726-0002</x:v>
      </x:c>
      <x:c r="E5" s="29" t="str">
        <x:v>REGISTERED_CAPITAL</x:v>
      </x:c>
      <x:c r="F5" s="29" t="str">
        <x:v>增资前资本+新增资本=增资后资本</x:v>
      </x:c>
      <x:c r="G5" s="29" t="str">
        <x:v>万元人民币</x:v>
      </x:c>
      <x:c r="H5" s="72" t="n">
        <x:v>813.3983</x:v>
      </x:c>
      <x:c r="I5" s="72" t="str">
        <x:v>DISCLOSED_COMPLETE</x:v>
      </x:c>
      <x:c r="J5" s="72" t="n">
        <x:v>813.3983</x:v>
      </x:c>
      <x:c r="K5" s="72" t="str">
        <x:v>AVAILABLE</x:v>
      </x:c>
      <x:c r="L5" s="72" t="n">
        <x:v>813.3983</x:v>
      </x:c>
      <x:c r="M5" s="72" t="str">
        <x:v>AVAILABLE</x:v>
      </x:c>
      <x:c r="N5" s="72" t="n">
        <x:v>0</x:v>
      </x:c>
      <x:c r="O5" s="72" t="str">
        <x:v>AVAILABLE</x:v>
      </x:c>
      <x:c r="P5" s="75" t="n">
        <x:v>0</x:v>
      </x:c>
      <x:c r="Q5" s="75" t="str">
        <x:v>AVAILABLE</x:v>
      </x:c>
      <x:c r="R5" s="29" t="str">
        <x:v>528.7089+284.6894</x:v>
      </x:c>
      <x:c r="S5" s="72" t="str">
        <x:v>{"before": 528.7089, "increase": 284.6894}</x:v>
      </x:c>
      <x:c r="T5" s="29" t="n">
        <x:v>0.0002</x:v>
      </x:c>
      <x:c r="U5" s="29" t="n">
        <x:v>0.000001</x:v>
      </x:c>
      <x:c r="V5" s="72" t="str">
        <x:v>CALCULATED</x:v>
      </x:c>
      <x:c r="W5" s="29" t="str">
        <x:v>GENERATED_VALIDATION</x:v>
      </x:c>
      <x:c r="X5" s="29" t="str">
        <x:v>EVD-688726-0001</x:v>
      </x:c>
      <x:c r="Y5" s="29" t="str">
        <x:v>PASS</x:v>
      </x:c>
      <x:c r="Z5" s="29" t="str">
        <x:v>FINAL_APPROVED</x:v>
      </x:c>
    </x:row>
    <x:row r="6">
      <x:c r="A6" s="30" t="str">
        <x:v>VAL-688726-0002</x:v>
      </x:c>
      <x:c r="B6" s="30" t="str">
        <x:v>688726</x:v>
      </x:c>
      <x:c r="C6" s="30" t="str">
        <x:v>EVT-688726-0001</x:v>
      </x:c>
      <x:c r="D6" s="30" t="str">
        <x:v>TRX-688726-0002</x:v>
      </x:c>
      <x:c r="E6" s="30" t="str">
        <x:v>AGGREGATE_TOTAL</x:v>
      </x:c>
      <x:c r="F6" s="30" t="str">
        <x:v>逐投资人认缴对价求和等于事件融资金额</x:v>
      </x:c>
      <x:c r="G6" s="30" t="str">
        <x:v>万元人民币</x:v>
      </x:c>
      <x:c r="H6" s="73" t="n">
        <x:v>5000</x:v>
      </x:c>
      <x:c r="I6" s="73" t="str">
        <x:v>DISCLOSED_COMPLETE</x:v>
      </x:c>
      <x:c r="J6" s="73" t="n">
        <x:v>5000</x:v>
      </x:c>
      <x:c r="K6" s="73" t="str">
        <x:v>AVAILABLE</x:v>
      </x:c>
      <x:c r="L6" s="73" t="n">
        <x:v>5000</x:v>
      </x:c>
      <x:c r="M6" s="73" t="str">
        <x:v>AVAILABLE</x:v>
      </x:c>
      <x:c r="N6" s="73" t="n">
        <x:v>0</x:v>
      </x:c>
      <x:c r="O6" s="73" t="str">
        <x:v>AVAILABLE</x:v>
      </x:c>
      <x:c r="P6" s="76" t="n">
        <x:v>0</x:v>
      </x:c>
      <x:c r="Q6" s="76" t="str">
        <x:v>AVAILABLE</x:v>
      </x:c>
      <x:c r="R6" s="30" t="str">
        <x:v>5000.0</x:v>
      </x:c>
      <x:c r="S6" s="73" t="str">
        <x:v>{"连城数控": 5000.0}</x:v>
      </x:c>
      <x:c r="T6" s="30" t="n">
        <x:v>0.0001</x:v>
      </x:c>
      <x:c r="U6" s="30" t="n">
        <x:v>0.000001</x:v>
      </x:c>
      <x:c r="V6" s="73" t="str">
        <x:v>CALCULATED</x:v>
      </x:c>
      <x:c r="W6" s="30" t="str">
        <x:v>GENERATED_VALIDATION</x:v>
      </x:c>
      <x:c r="X6" s="30" t="str">
        <x:v>EVD-688726-0001</x:v>
      </x:c>
      <x:c r="Y6" s="30" t="str">
        <x:v>PASS</x:v>
      </x:c>
      <x:c r="Z6" s="30" t="str">
        <x:v>FINAL_APPROVED</x:v>
      </x:c>
    </x:row>
    <x:row r="7">
      <x:c r="A7" s="30" t="str">
        <x:v>VAL-688726-0003</x:v>
      </x:c>
      <x:c r="B7" s="30" t="str">
        <x:v>688726</x:v>
      </x:c>
      <x:c r="C7" s="30" t="str">
        <x:v>EVT-688726-0003</x:v>
      </x:c>
      <x:c r="D7" s="30" t="str">
        <x:v>TRX-688726-0004</x:v>
      </x:c>
      <x:c r="E7" s="30" t="str">
        <x:v>REGISTERED_CAPITAL</x:v>
      </x:c>
      <x:c r="F7" s="30" t="str">
        <x:v>增资前资本+新增资本=增资后资本</x:v>
      </x:c>
      <x:c r="G7" s="30" t="str">
        <x:v>万元人民币</x:v>
      </x:c>
      <x:c r="H7" s="73" t="n">
        <x:v>992.3462</x:v>
      </x:c>
      <x:c r="I7" s="73" t="str">
        <x:v>DISCLOSED_COMPLETE</x:v>
      </x:c>
      <x:c r="J7" s="73" t="n">
        <x:v>992.3462</x:v>
      </x:c>
      <x:c r="K7" s="73" t="str">
        <x:v>AVAILABLE</x:v>
      </x:c>
      <x:c r="L7" s="73" t="n">
        <x:v>992.3462</x:v>
      </x:c>
      <x:c r="M7" s="73" t="str">
        <x:v>AVAILABLE</x:v>
      </x:c>
      <x:c r="N7" s="73" t="n">
        <x:v>0</x:v>
      </x:c>
      <x:c r="O7" s="73" t="str">
        <x:v>AVAILABLE</x:v>
      </x:c>
      <x:c r="P7" s="76" t="n">
        <x:v>0</x:v>
      </x:c>
      <x:c r="Q7" s="76" t="str">
        <x:v>AVAILABLE</x:v>
      </x:c>
      <x:c r="R7" s="30" t="str">
        <x:v>813.3983+178.9479</x:v>
      </x:c>
      <x:c r="S7" s="73" t="str">
        <x:v>{"before": 813.3983, "increase": 178.9479}</x:v>
      </x:c>
      <x:c r="T7" s="30" t="n">
        <x:v>0.0002</x:v>
      </x:c>
      <x:c r="U7" s="30" t="n">
        <x:v>0.000001</x:v>
      </x:c>
      <x:c r="V7" s="73" t="str">
        <x:v>CALCULATED</x:v>
      </x:c>
      <x:c r="W7" s="30" t="str">
        <x:v>GENERATED_VALIDATION</x:v>
      </x:c>
      <x:c r="X7" s="30" t="str">
        <x:v>EVD-688726-0003</x:v>
      </x:c>
      <x:c r="Y7" s="30" t="str">
        <x:v>PASS</x:v>
      </x:c>
      <x:c r="Z7" s="30" t="str">
        <x:v>FINAL_APPROVED</x:v>
      </x:c>
    </x:row>
    <x:row r="8">
      <x:c r="A8" s="30" t="str">
        <x:v>VAL-688726-0004</x:v>
      </x:c>
      <x:c r="B8" s="30" t="str">
        <x:v>688726</x:v>
      </x:c>
      <x:c r="C8" s="30" t="str">
        <x:v>EVT-688726-0003</x:v>
      </x:c>
      <x:c r="D8" s="30" t="str">
        <x:v>TRX-688726-0004</x:v>
      </x:c>
      <x:c r="E8" s="30" t="str">
        <x:v>AGGREGATE_TOTAL</x:v>
      </x:c>
      <x:c r="F8" s="30" t="str">
        <x:v>逐投资人认缴对价求和等于事件融资金额</x:v>
      </x:c>
      <x:c r="G8" s="30" t="str">
        <x:v>万元人民币</x:v>
      </x:c>
      <x:c r="H8" s="73" t="n">
        <x:v>5500</x:v>
      </x:c>
      <x:c r="I8" s="73" t="str">
        <x:v>DISCLOSED_COMPLETE</x:v>
      </x:c>
      <x:c r="J8" s="73" t="n">
        <x:v>5500</x:v>
      </x:c>
      <x:c r="K8" s="73" t="str">
        <x:v>AVAILABLE</x:v>
      </x:c>
      <x:c r="L8" s="73" t="n">
        <x:v>5500</x:v>
      </x:c>
      <x:c r="M8" s="73" t="str">
        <x:v>AVAILABLE</x:v>
      </x:c>
      <x:c r="N8" s="73" t="n">
        <x:v>0</x:v>
      </x:c>
      <x:c r="O8" s="73" t="str">
        <x:v>AVAILABLE</x:v>
      </x:c>
      <x:c r="P8" s="76" t="n">
        <x:v>0</x:v>
      </x:c>
      <x:c r="Q8" s="76" t="str">
        <x:v>AVAILABLE</x:v>
      </x:c>
      <x:c r="R8" s="30" t="str">
        <x:v>150+135+135+105+240+180+105+105+60+153+1800+2000+332</x:v>
      </x:c>
      <x:c r="S8" s="73" t="str">
        <x:v>{"孟祥云": 150, "徐家林": 135, "李恒盛": 135, "钟保善": 105, "赵永红": 240, "赵能平": 180, "赵天雪": 105, "张玉秋": 105, "张强": 60, "房坤": 153, "胡中祥": 1800, "如东恒君": 2000, "同舟合伙": 332}</x:v>
      </x:c>
      <x:c r="T8" s="30" t="n">
        <x:v>0.0001</x:v>
      </x:c>
      <x:c r="U8" s="30" t="n">
        <x:v>0.000001</x:v>
      </x:c>
      <x:c r="V8" s="73" t="str">
        <x:v>CALCULATED</x:v>
      </x:c>
      <x:c r="W8" s="30" t="str">
        <x:v>GENERATED_VALIDATION</x:v>
      </x:c>
      <x:c r="X8" s="30" t="str">
        <x:v>EVD-688726-0003</x:v>
      </x:c>
      <x:c r="Y8" s="30" t="str">
        <x:v>PASS</x:v>
      </x:c>
      <x:c r="Z8" s="30" t="str">
        <x:v>FINAL_APPROVED</x:v>
      </x:c>
    </x:row>
    <x:row r="9">
      <x:c r="A9" s="30" t="str">
        <x:v>VAL-688726-0005</x:v>
      </x:c>
      <x:c r="B9" s="30" t="str">
        <x:v>688726</x:v>
      </x:c>
      <x:c r="C9" s="30" t="str">
        <x:v>EVT-688726-0004</x:v>
      </x:c>
      <x:c r="D9" s="30" t="str">
        <x:v>TRX-688726-0005</x:v>
      </x:c>
      <x:c r="E9" s="30" t="str">
        <x:v>REGISTERED_CAPITAL</x:v>
      </x:c>
      <x:c r="F9" s="30" t="str">
        <x:v>增资前资本+新增资本=增资后资本</x:v>
      </x:c>
      <x:c r="G9" s="30" t="str">
        <x:v>万元人民币</x:v>
      </x:c>
      <x:c r="H9" s="73" t="n">
        <x:v>1102.6069</x:v>
      </x:c>
      <x:c r="I9" s="73" t="str">
        <x:v>DISCLOSED_COMPLETE</x:v>
      </x:c>
      <x:c r="J9" s="73" t="n">
        <x:v>1102.6069</x:v>
      </x:c>
      <x:c r="K9" s="73" t="str">
        <x:v>AVAILABLE</x:v>
      </x:c>
      <x:c r="L9" s="73" t="n">
        <x:v>1102.6069</x:v>
      </x:c>
      <x:c r="M9" s="73" t="str">
        <x:v>AVAILABLE</x:v>
      </x:c>
      <x:c r="N9" s="73" t="n">
        <x:v>0</x:v>
      </x:c>
      <x:c r="O9" s="73" t="str">
        <x:v>AVAILABLE</x:v>
      </x:c>
      <x:c r="P9" s="76" t="n">
        <x:v>0</x:v>
      </x:c>
      <x:c r="Q9" s="76" t="str">
        <x:v>AVAILABLE</x:v>
      </x:c>
      <x:c r="R9" s="30" t="str">
        <x:v>992.3462+110.2607</x:v>
      </x:c>
      <x:c r="S9" s="73" t="str">
        <x:v>{"before": 992.3462, "increase": 110.2607}</x:v>
      </x:c>
      <x:c r="T9" s="30" t="n">
        <x:v>0.0002</x:v>
      </x:c>
      <x:c r="U9" s="30" t="n">
        <x:v>0.000001</x:v>
      </x:c>
      <x:c r="V9" s="73" t="str">
        <x:v>CALCULATED</x:v>
      </x:c>
      <x:c r="W9" s="30" t="str">
        <x:v>GENERATED_VALIDATION</x:v>
      </x:c>
      <x:c r="X9" s="30" t="str">
        <x:v>EVD-688726-0004</x:v>
      </x:c>
      <x:c r="Y9" s="30" t="str">
        <x:v>PASS</x:v>
      </x:c>
      <x:c r="Z9" s="30" t="str">
        <x:v>FINAL_APPROVED</x:v>
      </x:c>
    </x:row>
    <x:row r="10">
      <x:c r="A10" s="30" t="str">
        <x:v>VAL-688726-0006</x:v>
      </x:c>
      <x:c r="B10" s="30" t="str">
        <x:v>688726</x:v>
      </x:c>
      <x:c r="C10" s="30" t="str">
        <x:v>EVT-688726-0004</x:v>
      </x:c>
      <x:c r="D10" s="30" t="str">
        <x:v>TRX-688726-0005</x:v>
      </x:c>
      <x:c r="E10" s="30" t="str">
        <x:v>AGGREGATE_TOTAL</x:v>
      </x:c>
      <x:c r="F10" s="30" t="str">
        <x:v>逐投资人认缴对价求和等于事件融资金额</x:v>
      </x:c>
      <x:c r="G10" s="30" t="str">
        <x:v>万元人民币</x:v>
      </x:c>
      <x:c r="H10" s="73" t="n">
        <x:v>1355.1046000000001</x:v>
      </x:c>
      <x:c r="I10" s="73" t="str">
        <x:v>DISCLOSED_COMPLETE</x:v>
      </x:c>
      <x:c r="J10" s="73" t="n">
        <x:v>1355.1046000000001</x:v>
      </x:c>
      <x:c r="K10" s="73" t="str">
        <x:v>AVAILABLE</x:v>
      </x:c>
      <x:c r="L10" s="73" t="n">
        <x:v>1355.1046000000001</x:v>
      </x:c>
      <x:c r="M10" s="73" t="str">
        <x:v>AVAILABLE</x:v>
      </x:c>
      <x:c r="N10" s="73" t="n">
        <x:v>0</x:v>
      </x:c>
      <x:c r="O10" s="73" t="str">
        <x:v>AVAILABLE</x:v>
      </x:c>
      <x:c r="P10" s="76" t="n">
        <x:v>0</x:v>
      </x:c>
      <x:c r="Q10" s="76" t="str">
        <x:v>AVAILABLE</x:v>
      </x:c>
      <x:c r="R10" s="30" t="str">
        <x:v>677.9533+338.5753+338.576</x:v>
      </x:c>
      <x:c r="S10" s="73" t="str">
        <x:v>{"傅立叶合伙": 677.9533, "笛卡尔合伙": 338.5753, "自强合伙": 338.576}</x:v>
      </x:c>
      <x:c r="T10" s="30" t="n">
        <x:v>0.0001</x:v>
      </x:c>
      <x:c r="U10" s="30" t="n">
        <x:v>0.000001</x:v>
      </x:c>
      <x:c r="V10" s="73" t="str">
        <x:v>CALCULATED</x:v>
      </x:c>
      <x:c r="W10" s="30" t="str">
        <x:v>GENERATED_VALIDATION</x:v>
      </x:c>
      <x:c r="X10" s="30" t="str">
        <x:v>EVD-688726-0004</x:v>
      </x:c>
      <x:c r="Y10" s="30" t="str">
        <x:v>PASS</x:v>
      </x:c>
      <x:c r="Z10" s="30" t="str">
        <x:v>FINAL_APPROVED</x:v>
      </x:c>
    </x:row>
    <x:row r="11">
      <x:c r="A11" s="30" t="str">
        <x:v>VAL-688726-0007</x:v>
      </x:c>
      <x:c r="B11" s="30" t="str">
        <x:v>688726</x:v>
      </x:c>
      <x:c r="C11" s="30" t="str">
        <x:v>EVT-688726-0006</x:v>
      </x:c>
      <x:c r="D11" s="30" t="str">
        <x:v>TRX-688726-0012</x:v>
      </x:c>
      <x:c r="E11" s="30" t="str">
        <x:v>REGISTERED_CAPITAL</x:v>
      </x:c>
      <x:c r="F11" s="30" t="str">
        <x:v>增资前资本+新增资本=增资后资本</x:v>
      </x:c>
      <x:c r="G11" s="30" t="str">
        <x:v>万元人民币</x:v>
      </x:c>
      <x:c r="H11" s="73" t="n">
        <x:v>1304.7517</x:v>
      </x:c>
      <x:c r="I11" s="73" t="str">
        <x:v>DISCLOSED_COMPLETE</x:v>
      </x:c>
      <x:c r="J11" s="73" t="n">
        <x:v>1304.7517</x:v>
      </x:c>
      <x:c r="K11" s="73" t="str">
        <x:v>AVAILABLE</x:v>
      </x:c>
      <x:c r="L11" s="73" t="n">
        <x:v>1304.7517</x:v>
      </x:c>
      <x:c r="M11" s="73" t="str">
        <x:v>AVAILABLE</x:v>
      </x:c>
      <x:c r="N11" s="73" t="n">
        <x:v>0</x:v>
      </x:c>
      <x:c r="O11" s="73" t="str">
        <x:v>AVAILABLE</x:v>
      </x:c>
      <x:c r="P11" s="76" t="n">
        <x:v>0</x:v>
      </x:c>
      <x:c r="Q11" s="76" t="str">
        <x:v>AVAILABLE</x:v>
      </x:c>
      <x:c r="R11" s="30" t="str">
        <x:v>1102.6069+202.1448</x:v>
      </x:c>
      <x:c r="S11" s="73" t="str">
        <x:v>{"before": 1102.6069, "increase": 202.1448}</x:v>
      </x:c>
      <x:c r="T11" s="30" t="n">
        <x:v>0.0002</x:v>
      </x:c>
      <x:c r="U11" s="30" t="n">
        <x:v>0.000001</x:v>
      </x:c>
      <x:c r="V11" s="73" t="str">
        <x:v>CALCULATED</x:v>
      </x:c>
      <x:c r="W11" s="30" t="str">
        <x:v>GENERATED_VALIDATION</x:v>
      </x:c>
      <x:c r="X11" s="30" t="str">
        <x:v>EVD-688726-0006</x:v>
      </x:c>
      <x:c r="Y11" s="30" t="str">
        <x:v>PASS</x:v>
      </x:c>
      <x:c r="Z11" s="30" t="str">
        <x:v>FINAL_APPROVED</x:v>
      </x:c>
    </x:row>
    <x:row r="12">
      <x:c r="A12" s="30" t="str">
        <x:v>VAL-688726-0008</x:v>
      </x:c>
      <x:c r="B12" s="30" t="str">
        <x:v>688726</x:v>
      </x:c>
      <x:c r="C12" s="30" t="str">
        <x:v>EVT-688726-0006</x:v>
      </x:c>
      <x:c r="D12" s="30" t="str">
        <x:v>TRX-688726-0012</x:v>
      </x:c>
      <x:c r="E12" s="30" t="str">
        <x:v>AGGREGATE_TOTAL</x:v>
      </x:c>
      <x:c r="F12" s="30" t="str">
        <x:v>逐投资人认缴对价求和等于事件融资金额</x:v>
      </x:c>
      <x:c r="G12" s="30" t="str">
        <x:v>万元人民币</x:v>
      </x:c>
      <x:c r="H12" s="73" t="n">
        <x:v>33000</x:v>
      </x:c>
      <x:c r="I12" s="73" t="str">
        <x:v>DISCLOSED_COMPLETE</x:v>
      </x:c>
      <x:c r="J12" s="73" t="n">
        <x:v>33000</x:v>
      </x:c>
      <x:c r="K12" s="73" t="str">
        <x:v>AVAILABLE</x:v>
      </x:c>
      <x:c r="L12" s="73" t="n">
        <x:v>33000</x:v>
      </x:c>
      <x:c r="M12" s="73" t="str">
        <x:v>AVAILABLE</x:v>
      </x:c>
      <x:c r="N12" s="73" t="n">
        <x:v>0</x:v>
      </x:c>
      <x:c r="O12" s="73" t="str">
        <x:v>AVAILABLE</x:v>
      </x:c>
      <x:c r="P12" s="76" t="n">
        <x:v>0</x:v>
      </x:c>
      <x:c r="Q12" s="76" t="str">
        <x:v>AVAILABLE</x:v>
      </x:c>
      <x:c r="R12" s="30" t="str">
        <x:v>5000+5000+5000+4078+6000+222+2000+2400+600+1200+1500</x:v>
      </x:c>
      <x:c r="S12" s="73" t="str">
        <x:v>{"朱雀壬寅": 5000, "正逸宁投资": 5000, "兴睿兴元": 5000, "秋石一号": 4078, "赛格合创": 6000, "国盈君和": 222, "高新投创投": 2000, "黄埔数字": 2400, "斐君隆成": 600, "嘉兴腾寅": 1200, "张文正": 1500}</x:v>
      </x:c>
      <x:c r="T12" s="30" t="n">
        <x:v>0.0001</x:v>
      </x:c>
      <x:c r="U12" s="30" t="n">
        <x:v>0.000001</x:v>
      </x:c>
      <x:c r="V12" s="73" t="str">
        <x:v>CALCULATED</x:v>
      </x:c>
      <x:c r="W12" s="30" t="str">
        <x:v>GENERATED_VALIDATION</x:v>
      </x:c>
      <x:c r="X12" s="30" t="str">
        <x:v>EVD-688726-0006</x:v>
      </x:c>
      <x:c r="Y12" s="30" t="str">
        <x:v>PASS</x:v>
      </x:c>
      <x:c r="Z12" s="30" t="str">
        <x:v>FINAL_APPROVED</x:v>
      </x:c>
    </x:row>
    <x:row r="13">
      <x:c r="A13" s="30" t="str">
        <x:v>VAL-688726-0009</x:v>
      </x:c>
      <x:c r="B13" s="30" t="str">
        <x:v>688726</x:v>
      </x:c>
      <x:c r="C13" s="30" t="str">
        <x:v>EVT-688726-0009</x:v>
      </x:c>
      <x:c r="D13" s="30" t="str">
        <x:v>TRX-688726-0019</x:v>
      </x:c>
      <x:c r="E13" s="30" t="str">
        <x:v>REGISTERED_CAPITAL</x:v>
      </x:c>
      <x:c r="F13" s="30" t="str">
        <x:v>增资前资本+新增资本=增资后资本</x:v>
      </x:c>
      <x:c r="G13" s="30" t="str">
        <x:v>万元人民币</x:v>
      </x:c>
      <x:c r="H13" s="73" t="n">
        <x:v>1384.3845</x:v>
      </x:c>
      <x:c r="I13" s="73" t="str">
        <x:v>DISCLOSED_COMPLETE</x:v>
      </x:c>
      <x:c r="J13" s="73" t="n">
        <x:v>1384.3845</x:v>
      </x:c>
      <x:c r="K13" s="73" t="str">
        <x:v>AVAILABLE</x:v>
      </x:c>
      <x:c r="L13" s="73" t="n">
        <x:v>1384.3845000000001</x:v>
      </x:c>
      <x:c r="M13" s="73" t="str">
        <x:v>AVAILABLE</x:v>
      </x:c>
      <x:c r="N13" s="73" t="n">
        <x:v>-2.2737367544323206e-13</x:v>
      </x:c>
      <x:c r="O13" s="73" t="str">
        <x:v>AVAILABLE</x:v>
      </x:c>
      <x:c r="P13" s="76" t="n">
        <x:v>1.642417084583308e-16</x:v>
      </x:c>
      <x:c r="Q13" s="76" t="str">
        <x:v>AVAILABLE</x:v>
      </x:c>
      <x:c r="R13" s="30" t="str">
        <x:v>1304.7517+79.6328</x:v>
      </x:c>
      <x:c r="S13" s="73" t="str">
        <x:v>{"before": 1304.7517, "increase": 79.6328}</x:v>
      </x:c>
      <x:c r="T13" s="30" t="n">
        <x:v>0.0002</x:v>
      </x:c>
      <x:c r="U13" s="30" t="n">
        <x:v>0.000001</x:v>
      </x:c>
      <x:c r="V13" s="73" t="str">
        <x:v>CALCULATED</x:v>
      </x:c>
      <x:c r="W13" s="30" t="str">
        <x:v>GENERATED_VALIDATION</x:v>
      </x:c>
      <x:c r="X13" s="30" t="str">
        <x:v>EVD-688726-0009</x:v>
      </x:c>
      <x:c r="Y13" s="30" t="str">
        <x:v>PASS</x:v>
      </x:c>
      <x:c r="Z13" s="30" t="str">
        <x:v>FINAL_APPROVED</x:v>
      </x:c>
    </x:row>
    <x:row r="14">
      <x:c r="A14" s="30" t="str">
        <x:v>VAL-688726-0010</x:v>
      </x:c>
      <x:c r="B14" s="30" t="str">
        <x:v>688726</x:v>
      </x:c>
      <x:c r="C14" s="30" t="str">
        <x:v>EVT-688726-0009</x:v>
      </x:c>
      <x:c r="D14" s="30" t="str">
        <x:v>TRX-688726-0019</x:v>
      </x:c>
      <x:c r="E14" s="30" t="str">
        <x:v>AGGREGATE_TOTAL</x:v>
      </x:c>
      <x:c r="F14" s="30" t="str">
        <x:v>逐投资人认缴对价求和等于事件融资金额</x:v>
      </x:c>
      <x:c r="G14" s="30" t="str">
        <x:v>万元人民币</x:v>
      </x:c>
      <x:c r="H14" s="73" t="n">
        <x:v>13000</x:v>
      </x:c>
      <x:c r="I14" s="73" t="str">
        <x:v>DISCLOSED_COMPLETE</x:v>
      </x:c>
      <x:c r="J14" s="73" t="n">
        <x:v>13000</x:v>
      </x:c>
      <x:c r="K14" s="73" t="str">
        <x:v>AVAILABLE</x:v>
      </x:c>
      <x:c r="L14" s="73" t="n">
        <x:v>13000</x:v>
      </x:c>
      <x:c r="M14" s="73" t="str">
        <x:v>AVAILABLE</x:v>
      </x:c>
      <x:c r="N14" s="73" t="n">
        <x:v>0</x:v>
      </x:c>
      <x:c r="O14" s="73" t="str">
        <x:v>AVAILABLE</x:v>
      </x:c>
      <x:c r="P14" s="76" t="n">
        <x:v>0</x:v>
      </x:c>
      <x:c r="Q14" s="76" t="str">
        <x:v>AVAILABLE</x:v>
      </x:c>
      <x:c r="R14" s="30" t="str">
        <x:v>3200+3300+3500+3000</x:v>
      </x:c>
      <x:c r="S14" s="73" t="str">
        <x:v>{"上饶弘信": 3200, "德兴川弘": 3300, "林佳继": 3500, "共济合伙": 3000}</x:v>
      </x:c>
      <x:c r="T14" s="30" t="n">
        <x:v>0.0001</x:v>
      </x:c>
      <x:c r="U14" s="30" t="n">
        <x:v>0.000001</x:v>
      </x:c>
      <x:c r="V14" s="73" t="str">
        <x:v>CALCULATED</x:v>
      </x:c>
      <x:c r="W14" s="30" t="str">
        <x:v>GENERATED_VALIDATION</x:v>
      </x:c>
      <x:c r="X14" s="30" t="str">
        <x:v>EVD-688726-0009</x:v>
      </x:c>
      <x:c r="Y14" s="30" t="str">
        <x:v>PASS</x:v>
      </x:c>
      <x:c r="Z14" s="30" t="str">
        <x:v>FINAL_APPROVED</x:v>
      </x:c>
    </x:row>
    <x:row r="15">
      <x:c r="A15" s="30" t="str">
        <x:v>VAL-688726-0011</x:v>
      </x:c>
      <x:c r="B15" s="30" t="str">
        <x:v>688726</x:v>
      </x:c>
      <x:c r="C15" s="30" t="str">
        <x:v>EVT-688726-0012</x:v>
      </x:c>
      <x:c r="D15" s="30" t="str">
        <x:v>TRX-688726-0031</x:v>
      </x:c>
      <x:c r="E15" s="30" t="str">
        <x:v>REGISTERED_CAPITAL</x:v>
      </x:c>
      <x:c r="F15" s="30" t="str">
        <x:v>增资前资本+新增资本=增资后资本</x:v>
      </x:c>
      <x:c r="G15" s="30" t="str">
        <x:v>万元人民币</x:v>
      </x:c>
      <x:c r="H15" s="73" t="n">
        <x:v>1390.5101</x:v>
      </x:c>
      <x:c r="I15" s="73" t="str">
        <x:v>DISCLOSED_COMPLETE</x:v>
      </x:c>
      <x:c r="J15" s="73" t="n">
        <x:v>1390.5101</x:v>
      </x:c>
      <x:c r="K15" s="73" t="str">
        <x:v>AVAILABLE</x:v>
      </x:c>
      <x:c r="L15" s="73" t="n">
        <x:v>1390.5101</x:v>
      </x:c>
      <x:c r="M15" s="73" t="str">
        <x:v>AVAILABLE</x:v>
      </x:c>
      <x:c r="N15" s="73" t="n">
        <x:v>0</x:v>
      </x:c>
      <x:c r="O15" s="73" t="str">
        <x:v>AVAILABLE</x:v>
      </x:c>
      <x:c r="P15" s="76" t="n">
        <x:v>0</x:v>
      </x:c>
      <x:c r="Q15" s="76" t="str">
        <x:v>AVAILABLE</x:v>
      </x:c>
      <x:c r="R15" s="30" t="str">
        <x:v>1384.3845+6.1256</x:v>
      </x:c>
      <x:c r="S15" s="73" t="str">
        <x:v>{"before": 1384.3845, "increase": 6.1256}</x:v>
      </x:c>
      <x:c r="T15" s="30" t="n">
        <x:v>0.0002</x:v>
      </x:c>
      <x:c r="U15" s="30" t="n">
        <x:v>0.000001</x:v>
      </x:c>
      <x:c r="V15" s="73" t="str">
        <x:v>CALCULATED</x:v>
      </x:c>
      <x:c r="W15" s="30" t="str">
        <x:v>GENERATED_VALIDATION</x:v>
      </x:c>
      <x:c r="X15" s="30" t="str">
        <x:v>EVD-688726-0012</x:v>
      </x:c>
      <x:c r="Y15" s="30" t="str">
        <x:v>PASS</x:v>
      </x:c>
      <x:c r="Z15" s="30" t="str">
        <x:v>FINAL_APPROVED</x:v>
      </x:c>
    </x:row>
    <x:row r="16">
      <x:c r="A16" s="30" t="str">
        <x:v>VAL-688726-0012</x:v>
      </x:c>
      <x:c r="B16" s="30" t="str">
        <x:v>688726</x:v>
      </x:c>
      <x:c r="C16" s="30" t="str">
        <x:v>EVT-688726-0012</x:v>
      </x:c>
      <x:c r="D16" s="30" t="str">
        <x:v>TRX-688726-0031</x:v>
      </x:c>
      <x:c r="E16" s="30" t="str">
        <x:v>AGGREGATE_TOTAL</x:v>
      </x:c>
      <x:c r="F16" s="30" t="str">
        <x:v>逐投资人认缴对价求和等于事件融资金额</x:v>
      </x:c>
      <x:c r="G16" s="30" t="str">
        <x:v>万元人民币</x:v>
      </x:c>
      <x:c r="H16" s="73" t="n">
        <x:v>1000</x:v>
      </x:c>
      <x:c r="I16" s="73" t="str">
        <x:v>DISCLOSED_COMPLETE</x:v>
      </x:c>
      <x:c r="J16" s="73" t="n">
        <x:v>1000</x:v>
      </x:c>
      <x:c r="K16" s="73" t="str">
        <x:v>AVAILABLE</x:v>
      </x:c>
      <x:c r="L16" s="73" t="n">
        <x:v>1000</x:v>
      </x:c>
      <x:c r="M16" s="73" t="str">
        <x:v>AVAILABLE</x:v>
      </x:c>
      <x:c r="N16" s="73" t="n">
        <x:v>0</x:v>
      </x:c>
      <x:c r="O16" s="73" t="str">
        <x:v>AVAILABLE</x:v>
      </x:c>
      <x:c r="P16" s="76" t="n">
        <x:v>0</x:v>
      </x:c>
      <x:c r="Q16" s="76" t="str">
        <x:v>AVAILABLE</x:v>
      </x:c>
      <x:c r="R16" s="30" t="str">
        <x:v>1000</x:v>
      </x:c>
      <x:c r="S16" s="73" t="str">
        <x:v>{"无锡芯动力": 1000}</x:v>
      </x:c>
      <x:c r="T16" s="30" t="n">
        <x:v>0.0001</x:v>
      </x:c>
      <x:c r="U16" s="30" t="n">
        <x:v>0.000001</x:v>
      </x:c>
      <x:c r="V16" s="73" t="str">
        <x:v>CALCULATED</x:v>
      </x:c>
      <x:c r="W16" s="30" t="str">
        <x:v>GENERATED_VALIDATION</x:v>
      </x:c>
      <x:c r="X16" s="30" t="str">
        <x:v>EVD-688726-0012</x:v>
      </x:c>
      <x:c r="Y16" s="30" t="str">
        <x:v>PASS</x:v>
      </x:c>
      <x:c r="Z16" s="30" t="str">
        <x:v>FINAL_APPROVED</x:v>
      </x:c>
    </x:row>
    <x:row r="17">
      <x:c r="A17" s="30" t="str">
        <x:v>VAL-688726-0013</x:v>
      </x:c>
      <x:c r="B17" s="30" t="str">
        <x:v>688726</x:v>
      </x:c>
      <x:c r="C17" s="30" t="str">
        <x:v>EVT-688726-0013</x:v>
      </x:c>
      <x:c r="D17" s="30" t="str">
        <x:v>TRX-688726-0032</x:v>
      </x:c>
      <x:c r="E17" s="30" t="str">
        <x:v>REGISTERED_CAPITAL</x:v>
      </x:c>
      <x:c r="F17" s="30" t="str">
        <x:v>增资前资本+新增资本=增资后资本</x:v>
      </x:c>
      <x:c r="G17" s="30" t="str">
        <x:v>万元人民币</x:v>
      </x:c>
      <x:c r="H17" s="73" t="n">
        <x:v>1422.7699</x:v>
      </x:c>
      <x:c r="I17" s="73" t="str">
        <x:v>DISCLOSED_COMPLETE</x:v>
      </x:c>
      <x:c r="J17" s="73" t="n">
        <x:v>1422.7699</x:v>
      </x:c>
      <x:c r="K17" s="73" t="str">
        <x:v>AVAILABLE</x:v>
      </x:c>
      <x:c r="L17" s="73" t="n">
        <x:v>1422.7699</x:v>
      </x:c>
      <x:c r="M17" s="73" t="str">
        <x:v>AVAILABLE</x:v>
      </x:c>
      <x:c r="N17" s="73" t="n">
        <x:v>0</x:v>
      </x:c>
      <x:c r="O17" s="73" t="str">
        <x:v>AVAILABLE</x:v>
      </x:c>
      <x:c r="P17" s="76" t="n">
        <x:v>0</x:v>
      </x:c>
      <x:c r="Q17" s="76" t="str">
        <x:v>AVAILABLE</x:v>
      </x:c>
      <x:c r="R17" s="30" t="str">
        <x:v>1390.5101+32.2598</x:v>
      </x:c>
      <x:c r="S17" s="73" t="str">
        <x:v>{"before": 1390.5101, "increase": 32.2598}</x:v>
      </x:c>
      <x:c r="T17" s="30" t="n">
        <x:v>0.0002</x:v>
      </x:c>
      <x:c r="U17" s="30" t="n">
        <x:v>0.000001</x:v>
      </x:c>
      <x:c r="V17" s="73" t="str">
        <x:v>CALCULATED</x:v>
      </x:c>
      <x:c r="W17" s="30" t="str">
        <x:v>GENERATED_VALIDATION</x:v>
      </x:c>
      <x:c r="X17" s="30" t="str">
        <x:v>EVD-688726-0013</x:v>
      </x:c>
      <x:c r="Y17" s="30" t="str">
        <x:v>PASS</x:v>
      </x:c>
      <x:c r="Z17" s="30" t="str">
        <x:v>FINAL_APPROVED</x:v>
      </x:c>
    </x:row>
    <x:row r="18">
      <x:c r="A18" s="30" t="str">
        <x:v>VAL-688726-0014</x:v>
      </x:c>
      <x:c r="B18" s="30" t="str">
        <x:v>688726</x:v>
      </x:c>
      <x:c r="C18" s="30" t="str">
        <x:v>EVT-688726-0013</x:v>
      </x:c>
      <x:c r="D18" s="30" t="str">
        <x:v>TRX-688726-0032</x:v>
      </x:c>
      <x:c r="E18" s="30" t="str">
        <x:v>AGGREGATE_TOTAL</x:v>
      </x:c>
      <x:c r="F18" s="30" t="str">
        <x:v>逐投资人认缴对价求和等于事件融资金额</x:v>
      </x:c>
      <x:c r="G18" s="30" t="str">
        <x:v>万元人民币</x:v>
      </x:c>
      <x:c r="H18" s="73" t="n">
        <x:v>11600</x:v>
      </x:c>
      <x:c r="I18" s="73" t="str">
        <x:v>DISCLOSED_COMPLETE</x:v>
      </x:c>
      <x:c r="J18" s="73" t="n">
        <x:v>11600</x:v>
      </x:c>
      <x:c r="K18" s="73" t="str">
        <x:v>AVAILABLE</x:v>
      </x:c>
      <x:c r="L18" s="73" t="n">
        <x:v>11600</x:v>
      </x:c>
      <x:c r="M18" s="73" t="str">
        <x:v>AVAILABLE</x:v>
      </x:c>
      <x:c r="N18" s="73" t="n">
        <x:v>0</x:v>
      </x:c>
      <x:c r="O18" s="73" t="str">
        <x:v>AVAILABLE</x:v>
      </x:c>
      <x:c r="P18" s="76" t="n">
        <x:v>0</x:v>
      </x:c>
      <x:c r="Q18" s="76" t="str">
        <x:v>AVAILABLE</x:v>
      </x:c>
      <x:c r="R18" s="30" t="str">
        <x:v>5100+3800+1500+1200</x:v>
      </x:c>
      <x:c r="S18" s="73" t="str">
        <x:v>{"捷毅创投": 5100, "韩明祥": 3800, "黄埔永平": 1500, "黄埔数字": 1200}</x:v>
      </x:c>
      <x:c r="T18" s="30" t="n">
        <x:v>0.0001</x:v>
      </x:c>
      <x:c r="U18" s="30" t="n">
        <x:v>0.000001</x:v>
      </x:c>
      <x:c r="V18" s="73" t="str">
        <x:v>CALCULATED</x:v>
      </x:c>
      <x:c r="W18" s="30" t="str">
        <x:v>GENERATED_VALIDATION</x:v>
      </x:c>
      <x:c r="X18" s="30" t="str">
        <x:v>EVD-688726-0013</x:v>
      </x:c>
      <x:c r="Y18" s="30" t="str">
        <x:v>PASS</x:v>
      </x:c>
      <x:c r="Z18" s="30" t="str">
        <x:v>FINAL_APPROVED</x:v>
      </x:c>
    </x:row>
    <x:row r="19">
      <x:c r="A19" s="30" t="str">
        <x:v>VAL-688726-0015</x:v>
      </x:c>
      <x:c r="B19" s="30" t="str">
        <x:v>688726</x:v>
      </x:c>
      <x:c r="C19" s="30" t="str">
        <x:v>EVT-688726-0014</x:v>
      </x:c>
      <x:c r="D19" s="30" t="str">
        <x:v>TRX-688726-0033</x:v>
      </x:c>
      <x:c r="E19" s="30" t="str">
        <x:v>REGISTERED_CAPITAL</x:v>
      </x:c>
      <x:c r="F19" s="30" t="str">
        <x:v>增资前资本+新增资本=增资后资本</x:v>
      </x:c>
      <x:c r="G19" s="30" t="str">
        <x:v>万元人民币</x:v>
      </x:c>
      <x:c r="H19" s="73" t="n">
        <x:v>1466.9882</x:v>
      </x:c>
      <x:c r="I19" s="73" t="str">
        <x:v>DISCLOSED_COMPLETE</x:v>
      </x:c>
      <x:c r="J19" s="73" t="n">
        <x:v>1466.9882</x:v>
      </x:c>
      <x:c r="K19" s="73" t="str">
        <x:v>AVAILABLE</x:v>
      </x:c>
      <x:c r="L19" s="73" t="n">
        <x:v>1466.9882</x:v>
      </x:c>
      <x:c r="M19" s="73" t="str">
        <x:v>AVAILABLE</x:v>
      </x:c>
      <x:c r="N19" s="73" t="n">
        <x:v>0</x:v>
      </x:c>
      <x:c r="O19" s="73" t="str">
        <x:v>AVAILABLE</x:v>
      </x:c>
      <x:c r="P19" s="76" t="n">
        <x:v>0</x:v>
      </x:c>
      <x:c r="Q19" s="76" t="str">
        <x:v>AVAILABLE</x:v>
      </x:c>
      <x:c r="R19" s="30" t="str">
        <x:v>1422.7699+44.2183</x:v>
      </x:c>
      <x:c r="S19" s="73" t="str">
        <x:v>{"before": 1422.7699, "increase": 44.2183}</x:v>
      </x:c>
      <x:c r="T19" s="30" t="n">
        <x:v>0.0002</x:v>
      </x:c>
      <x:c r="U19" s="30" t="n">
        <x:v>0.000001</x:v>
      </x:c>
      <x:c r="V19" s="73" t="str">
        <x:v>CALCULATED</x:v>
      </x:c>
      <x:c r="W19" s="30" t="str">
        <x:v>GENERATED_VALIDATION</x:v>
      </x:c>
      <x:c r="X19" s="30" t="str">
        <x:v>EVD-688726-0014</x:v>
      </x:c>
      <x:c r="Y19" s="30" t="str">
        <x:v>PASS</x:v>
      </x:c>
      <x:c r="Z19" s="30" t="str">
        <x:v>FINAL_APPROVED</x:v>
      </x:c>
    </x:row>
    <x:row r="20">
      <x:c r="A20" s="30" t="str">
        <x:v>VAL-688726-0016</x:v>
      </x:c>
      <x:c r="B20" s="30" t="str">
        <x:v>688726</x:v>
      </x:c>
      <x:c r="C20" s="30" t="str">
        <x:v>EVT-688726-0014</x:v>
      </x:c>
      <x:c r="D20" s="30" t="str">
        <x:v>TRX-688726-0033</x:v>
      </x:c>
      <x:c r="E20" s="30" t="str">
        <x:v>AGGREGATE_TOTAL</x:v>
      </x:c>
      <x:c r="F20" s="30" t="str">
        <x:v>逐投资人认缴对价求和等于事件融资金额</x:v>
      </x:c>
      <x:c r="G20" s="30" t="str">
        <x:v>万元人民币</x:v>
      </x:c>
      <x:c r="H20" s="73" t="n">
        <x:v>15900</x:v>
      </x:c>
      <x:c r="I20" s="73" t="str">
        <x:v>DISCLOSED_COMPLETE</x:v>
      </x:c>
      <x:c r="J20" s="73" t="n">
        <x:v>15900</x:v>
      </x:c>
      <x:c r="K20" s="73" t="str">
        <x:v>AVAILABLE</x:v>
      </x:c>
      <x:c r="L20" s="73" t="n">
        <x:v>15900</x:v>
      </x:c>
      <x:c r="M20" s="73" t="str">
        <x:v>AVAILABLE</x:v>
      </x:c>
      <x:c r="N20" s="73" t="n">
        <x:v>0</x:v>
      </x:c>
      <x:c r="O20" s="73" t="str">
        <x:v>AVAILABLE</x:v>
      </x:c>
      <x:c r="P20" s="76" t="n">
        <x:v>0</x:v>
      </x:c>
      <x:c r="Q20" s="76" t="str">
        <x:v>AVAILABLE</x:v>
      </x:c>
      <x:c r="R20" s="30" t="str">
        <x:v>8000+2900+5000</x:v>
      </x:c>
      <x:c r="S20" s="73" t="str">
        <x:v>{"国寿科创": 8000, "盛欣投资": 2900, "海南瑞麟": 5000}</x:v>
      </x:c>
      <x:c r="T20" s="30" t="n">
        <x:v>0.0001</x:v>
      </x:c>
      <x:c r="U20" s="30" t="n">
        <x:v>0.000001</x:v>
      </x:c>
      <x:c r="V20" s="73" t="str">
        <x:v>CALCULATED</x:v>
      </x:c>
      <x:c r="W20" s="30" t="str">
        <x:v>GENERATED_VALIDATION</x:v>
      </x:c>
      <x:c r="X20" s="30" t="str">
        <x:v>EVD-688726-0014</x:v>
      </x:c>
      <x:c r="Y20" s="30" t="str">
        <x:v>PASS</x:v>
      </x:c>
      <x:c r="Z20" s="30" t="str">
        <x:v>FINAL_APPROVED</x:v>
      </x:c>
    </x:row>
    <x:row r="21">
      <x:c r="A21" s="30" t="str">
        <x:v>VAL-688726-0017</x:v>
      </x:c>
      <x:c r="B21" s="30" t="str">
        <x:v>688726</x:v>
      </x:c>
      <x:c r="C21" s="30" t="str">
        <x:v>EVT-688726-0016</x:v>
      </x:c>
      <x:c r="D21" s="30" t="str">
        <x:v>TRX-688726-0039</x:v>
      </x:c>
      <x:c r="E21" s="30" t="str">
        <x:v>REGISTERED_CAPITAL</x:v>
      </x:c>
      <x:c r="F21" s="30" t="str">
        <x:v>增资前资本+新增资本=增资后资本</x:v>
      </x:c>
      <x:c r="G21" s="30" t="str">
        <x:v>万元人民币</x:v>
      </x:c>
      <x:c r="H21" s="73" t="n">
        <x:v>1518.159</x:v>
      </x:c>
      <x:c r="I21" s="73" t="str">
        <x:v>DISCLOSED_COMPLETE</x:v>
      </x:c>
      <x:c r="J21" s="73" t="n">
        <x:v>1518.159</x:v>
      </x:c>
      <x:c r="K21" s="73" t="str">
        <x:v>AVAILABLE</x:v>
      </x:c>
      <x:c r="L21" s="73" t="n">
        <x:v>1518.159</x:v>
      </x:c>
      <x:c r="M21" s="73" t="str">
        <x:v>AVAILABLE</x:v>
      </x:c>
      <x:c r="N21" s="73" t="n">
        <x:v>0</x:v>
      </x:c>
      <x:c r="O21" s="73" t="str">
        <x:v>AVAILABLE</x:v>
      </x:c>
      <x:c r="P21" s="76" t="n">
        <x:v>0</x:v>
      </x:c>
      <x:c r="Q21" s="76" t="str">
        <x:v>AVAILABLE</x:v>
      </x:c>
      <x:c r="R21" s="30" t="str">
        <x:v>1466.9882+51.1708</x:v>
      </x:c>
      <x:c r="S21" s="73" t="str">
        <x:v>{"before": 1466.9882, "increase": 51.1708}</x:v>
      </x:c>
      <x:c r="T21" s="30" t="n">
        <x:v>0.0002</x:v>
      </x:c>
      <x:c r="U21" s="30" t="n">
        <x:v>0.000001</x:v>
      </x:c>
      <x:c r="V21" s="73" t="str">
        <x:v>CALCULATED</x:v>
      </x:c>
      <x:c r="W21" s="30" t="str">
        <x:v>GENERATED_VALIDATION</x:v>
      </x:c>
      <x:c r="X21" s="30" t="str">
        <x:v>EVD-688726-0016</x:v>
      </x:c>
      <x:c r="Y21" s="30" t="str">
        <x:v>PASS</x:v>
      </x:c>
      <x:c r="Z21" s="30" t="str">
        <x:v>FINAL_APPROVED</x:v>
      </x:c>
    </x:row>
    <x:row r="22">
      <x:c r="A22" s="30" t="str">
        <x:v>VAL-688726-0018</x:v>
      </x:c>
      <x:c r="B22" s="30" t="str">
        <x:v>688726</x:v>
      </x:c>
      <x:c r="C22" s="30" t="str">
        <x:v>EVT-688726-0016</x:v>
      </x:c>
      <x:c r="D22" s="30" t="str">
        <x:v>TRX-688726-0039</x:v>
      </x:c>
      <x:c r="E22" s="30" t="str">
        <x:v>AGGREGATE_TOTAL</x:v>
      </x:c>
      <x:c r="F22" s="30" t="str">
        <x:v>逐投资人认缴对价求和等于事件融资金额</x:v>
      </x:c>
      <x:c r="G22" s="30" t="str">
        <x:v>万元人民币</x:v>
      </x:c>
      <x:c r="H22" s="73" t="n">
        <x:v>9200</x:v>
      </x:c>
      <x:c r="I22" s="73" t="str">
        <x:v>DISCLOSED_COMPLETE</x:v>
      </x:c>
      <x:c r="J22" s="73" t="n">
        <x:v>9200</x:v>
      </x:c>
      <x:c r="K22" s="73" t="str">
        <x:v>AVAILABLE</x:v>
      </x:c>
      <x:c r="L22" s="73" t="n">
        <x:v>9200</x:v>
      </x:c>
      <x:c r="M22" s="73" t="str">
        <x:v>AVAILABLE</x:v>
      </x:c>
      <x:c r="N22" s="73" t="n">
        <x:v>0</x:v>
      </x:c>
      <x:c r="O22" s="73" t="str">
        <x:v>AVAILABLE</x:v>
      </x:c>
      <x:c r="P22" s="76" t="n">
        <x:v>0</x:v>
      </x:c>
      <x:c r="Q22" s="76" t="str">
        <x:v>AVAILABLE</x:v>
      </x:c>
      <x:c r="R22" s="30" t="str">
        <x:v>9200</x:v>
      </x:c>
      <x:c r="S22" s="73" t="str">
        <x:v>{"普朗克合伙": 9200}</x:v>
      </x:c>
      <x:c r="T22" s="30" t="n">
        <x:v>0.0001</x:v>
      </x:c>
      <x:c r="U22" s="30" t="n">
        <x:v>0.000001</x:v>
      </x:c>
      <x:c r="V22" s="73" t="str">
        <x:v>CALCULATED</x:v>
      </x:c>
      <x:c r="W22" s="30" t="str">
        <x:v>GENERATED_VALIDATION</x:v>
      </x:c>
      <x:c r="X22" s="30" t="str">
        <x:v>EVD-688726-0016</x:v>
      </x:c>
      <x:c r="Y22" s="30" t="str">
        <x:v>PASS</x:v>
      </x:c>
      <x:c r="Z22" s="30" t="str">
        <x:v>FINAL_APPROVED</x:v>
      </x:c>
    </x:row>
    <x:row r="23">
      <x:c r="A23" s="30" t="str">
        <x:v>VAL-688726-0019</x:v>
      </x:c>
      <x:c r="B23" s="30" t="str">
        <x:v>688726</x:v>
      </x:c>
      <x:c r="C23" s="30" t="str">
        <x:v>EVT-688726-0018</x:v>
      </x:c>
      <x:c r="D23" s="30" t="str">
        <x:v>TRX-688726-0043</x:v>
      </x:c>
      <x:c r="E23" s="30" t="str">
        <x:v>REGISTERED_CAPITAL</x:v>
      </x:c>
      <x:c r="F23" s="30" t="str">
        <x:v>增资前资本+新增资本=增资后资本</x:v>
      </x:c>
      <x:c r="G23" s="30" t="str">
        <x:v>万元人民币</x:v>
      </x:c>
      <x:c r="H23" s="73" t="n">
        <x:v>1665.4205</x:v>
      </x:c>
      <x:c r="I23" s="73" t="str">
        <x:v>DISCLOSED_COMPLETE</x:v>
      </x:c>
      <x:c r="J23" s="73" t="n">
        <x:v>1665.4205</x:v>
      </x:c>
      <x:c r="K23" s="73" t="str">
        <x:v>AVAILABLE</x:v>
      </x:c>
      <x:c r="L23" s="73" t="n">
        <x:v>1665.4205000000002</x:v>
      </x:c>
      <x:c r="M23" s="73" t="str">
        <x:v>AVAILABLE</x:v>
      </x:c>
      <x:c r="N23" s="73" t="n">
        <x:v>-2.2737367544323206e-13</x:v>
      </x:c>
      <x:c r="O23" s="73" t="str">
        <x:v>AVAILABLE</x:v>
      </x:c>
      <x:c r="P23" s="76" t="n">
        <x:v>1.36526285969959e-16</x:v>
      </x:c>
      <x:c r="Q23" s="76" t="str">
        <x:v>AVAILABLE</x:v>
      </x:c>
      <x:c r="R23" s="30" t="str">
        <x:v>1518.159+147.2615</x:v>
      </x:c>
      <x:c r="S23" s="73" t="str">
        <x:v>{"before": 1518.159, "increase": 147.2615}</x:v>
      </x:c>
      <x:c r="T23" s="30" t="n">
        <x:v>0.0002</x:v>
      </x:c>
      <x:c r="U23" s="30" t="n">
        <x:v>0.000001</x:v>
      </x:c>
      <x:c r="V23" s="73" t="str">
        <x:v>CALCULATED</x:v>
      </x:c>
      <x:c r="W23" s="30" t="str">
        <x:v>GENERATED_VALIDATION</x:v>
      </x:c>
      <x:c r="X23" s="30" t="str">
        <x:v>EVD-688726-0018</x:v>
      </x:c>
      <x:c r="Y23" s="30" t="str">
        <x:v>PASS</x:v>
      </x:c>
      <x:c r="Z23" s="30" t="str">
        <x:v>FINAL_APPROVED</x:v>
      </x:c>
    </x:row>
    <x:row r="24">
      <x:c r="A24" s="30" t="str">
        <x:v>VAL-688726-0020</x:v>
      </x:c>
      <x:c r="B24" s="30" t="str">
        <x:v>688726</x:v>
      </x:c>
      <x:c r="C24" s="30" t="str">
        <x:v>EVT-688726-0018</x:v>
      </x:c>
      <x:c r="D24" s="30" t="str">
        <x:v>TRX-688726-0043</x:v>
      </x:c>
      <x:c r="E24" s="30" t="str">
        <x:v>AGGREGATE_TOTAL</x:v>
      </x:c>
      <x:c r="F24" s="30" t="str">
        <x:v>逐投资人认缴对价求和等于事件融资金额</x:v>
      </x:c>
      <x:c r="G24" s="30" t="str">
        <x:v>万元人民币</x:v>
      </x:c>
      <x:c r="H24" s="73" t="n">
        <x:v>67900</x:v>
      </x:c>
      <x:c r="I24" s="73" t="str">
        <x:v>DISCLOSED_COMPLETE</x:v>
      </x:c>
      <x:c r="J24" s="73" t="n">
        <x:v>67900</x:v>
      </x:c>
      <x:c r="K24" s="73" t="str">
        <x:v>AVAILABLE</x:v>
      </x:c>
      <x:c r="L24" s="73" t="n">
        <x:v>67900</x:v>
      </x:c>
      <x:c r="M24" s="73" t="str">
        <x:v>AVAILABLE</x:v>
      </x:c>
      <x:c r="N24" s="73" t="n">
        <x:v>0</x:v>
      </x:c>
      <x:c r="O24" s="73" t="str">
        <x:v>AVAILABLE</x:v>
      </x:c>
      <x:c r="P24" s="76" t="n">
        <x:v>0</x:v>
      </x:c>
      <x:c r="Q24" s="76" t="str">
        <x:v>AVAILABLE</x:v>
      </x:c>
      <x:c r="R24" s="30" t="str">
        <x:v>12000+7600+5000+5000+5000+4000+4500+3800+3500+3000+3000+2750+2250+2000+2000+1500+1000</x:v>
      </x:c>
      <x:c r="S24" s="73" t="str">
        <x:v>{"国寿科创": 12000, "嘉兴朝骞": 7600, "杭州鋆沐": 5000, "聚源芯创": 5000, "无锡芯动力": 5000, "科创产投": 4000, "韩明祥": 4500, "秋石二期": 3800, "如东嘉达": 3500, "嘉兴朝佑": 3000, "领汇基石": 3000, "易方新达": 2750, "易方新达二号": 2250, "林洋创投": 2000, "齐麟": 2000, "姜洪峰": 1500, "科创二号": 1000}</x:v>
      </x:c>
      <x:c r="T24" s="30" t="n">
        <x:v>0.0001</x:v>
      </x:c>
      <x:c r="U24" s="30" t="n">
        <x:v>0.000001</x:v>
      </x:c>
      <x:c r="V24" s="73" t="str">
        <x:v>CALCULATED</x:v>
      </x:c>
      <x:c r="W24" s="30" t="str">
        <x:v>GENERATED_VALIDATION</x:v>
      </x:c>
      <x:c r="X24" s="30" t="str">
        <x:v>EVD-688726-0018</x:v>
      </x:c>
      <x:c r="Y24" s="30" t="str">
        <x:v>PASS</x:v>
      </x:c>
      <x:c r="Z24" s="30" t="str">
        <x:v>FINAL_APPROVED</x:v>
      </x:c>
    </x:row>
    <x:row r="25">
      <x:c r="A25" s="30" t="str">
        <x:v>VAL-688726-0021</x:v>
      </x:c>
      <x:c r="B25" s="30" t="str">
        <x:v>688726</x:v>
      </x:c>
      <x:c r="C25" s="30" t="str">
        <x:v>EVT-688726-0020</x:v>
      </x:c>
      <x:c r="D25" s="30" t="str">
        <x:v>TRX-688726-0044</x:v>
      </x:c>
      <x:c r="E25" s="30" t="str">
        <x:v>REGISTERED_CAPITAL</x:v>
      </x:c>
      <x:c r="F25" s="30" t="str">
        <x:v>增资前资本+新增资本=增资后资本</x:v>
      </x:c>
      <x:c r="G25" s="30" t="str">
        <x:v>万元人民币</x:v>
      </x:c>
      <x:c r="H25" s="73" t="n">
        <x:v>36479.357</x:v>
      </x:c>
      <x:c r="I25" s="73" t="str">
        <x:v>DISCLOSED_COMPLETE</x:v>
      </x:c>
      <x:c r="J25" s="73" t="n">
        <x:v>36479.357</x:v>
      </x:c>
      <x:c r="K25" s="73" t="str">
        <x:v>AVAILABLE</x:v>
      </x:c>
      <x:c r="L25" s="73" t="n">
        <x:v>36479.357</x:v>
      </x:c>
      <x:c r="M25" s="73" t="str">
        <x:v>AVAILABLE</x:v>
      </x:c>
      <x:c r="N25" s="73" t="n">
        <x:v>0</x:v>
      </x:c>
      <x:c r="O25" s="73" t="str">
        <x:v>AVAILABLE</x:v>
      </x:c>
      <x:c r="P25" s="76" t="n">
        <x:v>0</x:v>
      </x:c>
      <x:c r="Q25" s="76" t="str">
        <x:v>AVAILABLE</x:v>
      </x:c>
      <x:c r="R25" s="30" t="str">
        <x:v>36000.0+479.357</x:v>
      </x:c>
      <x:c r="S25" s="73" t="str">
        <x:v>{"before": 36000.0, "increase": 479.357}</x:v>
      </x:c>
      <x:c r="T25" s="30" t="n">
        <x:v>0.0002</x:v>
      </x:c>
      <x:c r="U25" s="30" t="n">
        <x:v>0.000001</x:v>
      </x:c>
      <x:c r="V25" s="73" t="str">
        <x:v>CALCULATED</x:v>
      </x:c>
      <x:c r="W25" s="30" t="str">
        <x:v>GENERATED_VALIDATION</x:v>
      </x:c>
      <x:c r="X25" s="30" t="str">
        <x:v>EVD-688726-0020</x:v>
      </x:c>
      <x:c r="Y25" s="30" t="str">
        <x:v>PASS</x:v>
      </x:c>
      <x:c r="Z25" s="30" t="str">
        <x:v>FINAL_APPROVED</x:v>
      </x:c>
    </x:row>
    <x:row r="26">
      <x:c r="A26" s="30" t="str">
        <x:v>VAL-688726-0022</x:v>
      </x:c>
      <x:c r="B26" s="30" t="str">
        <x:v>688726</x:v>
      </x:c>
      <x:c r="C26" s="30" t="str">
        <x:v>EVT-688726-0020</x:v>
      </x:c>
      <x:c r="D26" s="30" t="str">
        <x:v>TRX-688726-0044</x:v>
      </x:c>
      <x:c r="E26" s="30" t="str">
        <x:v>AGGREGATE_TOTAL</x:v>
      </x:c>
      <x:c r="F26" s="30" t="str">
        <x:v>逐投资人认缴对价求和等于事件融资金额</x:v>
      </x:c>
      <x:c r="G26" s="30" t="str">
        <x:v>万元人民币</x:v>
      </x:c>
      <x:c r="H26" s="73" t="n">
        <x:v>3987</x:v>
      </x:c>
      <x:c r="I26" s="73" t="str">
        <x:v>DISCLOSED_COMPLETE</x:v>
      </x:c>
      <x:c r="J26" s="73" t="n">
        <x:v>3987</x:v>
      </x:c>
      <x:c r="K26" s="73" t="str">
        <x:v>AVAILABLE</x:v>
      </x:c>
      <x:c r="L26" s="73" t="n">
        <x:v>3987</x:v>
      </x:c>
      <x:c r="M26" s="73" t="str">
        <x:v>AVAILABLE</x:v>
      </x:c>
      <x:c r="N26" s="73" t="n">
        <x:v>0</x:v>
      </x:c>
      <x:c r="O26" s="73" t="str">
        <x:v>AVAILABLE</x:v>
      </x:c>
      <x:c r="P26" s="76" t="n">
        <x:v>0</x:v>
      </x:c>
      <x:c r="Q26" s="76" t="str">
        <x:v>AVAILABLE</x:v>
      </x:c>
      <x:c r="R26" s="30" t="str">
        <x:v>3987</x:v>
      </x:c>
      <x:c r="S26" s="73" t="str">
        <x:v>{"普朗克六号": 3987}</x:v>
      </x:c>
      <x:c r="T26" s="30" t="n">
        <x:v>0.0001</x:v>
      </x:c>
      <x:c r="U26" s="30" t="n">
        <x:v>0.000001</x:v>
      </x:c>
      <x:c r="V26" s="73" t="str">
        <x:v>CALCULATED</x:v>
      </x:c>
      <x:c r="W26" s="30" t="str">
        <x:v>GENERATED_VALIDATION</x:v>
      </x:c>
      <x:c r="X26" s="30" t="str">
        <x:v>EVD-688726-0020</x:v>
      </x:c>
      <x:c r="Y26" s="30" t="str">
        <x:v>PASS</x:v>
      </x:c>
      <x:c r="Z26" s="30" t="str">
        <x:v>FINAL_APPROVED</x:v>
      </x:c>
    </x:row>
    <x:row r="27">
      <x:c r="A27" s="30" t="str">
        <x:v>VAL-688726-0023</x:v>
      </x:c>
      <x:c r="B27" s="30" t="str">
        <x:v>688726</x:v>
      </x:c>
      <x:c r="C27" s="30" t="str">
        <x:v>EVT-688726-0002</x:v>
      </x:c>
      <x:c r="D27" s="30"/>
      <x:c r="E27" s="30" t="str">
        <x:v>TRANSFER_AMOUNT</x:v>
      </x:c>
      <x:c r="F27" s="30" t="str">
        <x:v>逐笔老股转让对价求和</x:v>
      </x:c>
      <x:c r="G27" s="30" t="str">
        <x:v>万元人民币</x:v>
      </x:c>
      <x:c r="H27" s="73" t="n">
        <x:v>500</x:v>
      </x:c>
      <x:c r="I27" s="73" t="str">
        <x:v>DISCLOSED_COMPLETE</x:v>
      </x:c>
      <x:c r="J27" s="73" t="n">
        <x:v>500</x:v>
      </x:c>
      <x:c r="K27" s="73" t="str">
        <x:v>AVAILABLE</x:v>
      </x:c>
      <x:c r="L27" s="73" t="n">
        <x:v>500</x:v>
      </x:c>
      <x:c r="M27" s="73" t="str">
        <x:v>AVAILABLE</x:v>
      </x:c>
      <x:c r="N27" s="73" t="n">
        <x:v>0</x:v>
      </x:c>
      <x:c r="O27" s="73" t="str">
        <x:v>AVAILABLE</x:v>
      </x:c>
      <x:c r="P27" s="76" t="n">
        <x:v>0</x:v>
      </x:c>
      <x:c r="Q27" s="76" t="str">
        <x:v>AVAILABLE</x:v>
      </x:c>
      <x:c r="R27" s="30" t="str">
        <x:v>500</x:v>
      </x:c>
      <x:c r="S27" s="73" t="str">
        <x:v>{"transfer_1": 500}</x:v>
      </x:c>
      <x:c r="T27" s="30" t="n">
        <x:v>0.0001</x:v>
      </x:c>
      <x:c r="U27" s="30" t="n">
        <x:v>0.000001</x:v>
      </x:c>
      <x:c r="V27" s="73" t="str">
        <x:v>CALCULATED</x:v>
      </x:c>
      <x:c r="W27" s="30" t="str">
        <x:v>GENERATED_VALIDATION</x:v>
      </x:c>
      <x:c r="X27" s="30" t="str">
        <x:v>EVD-688726-0002</x:v>
      </x:c>
      <x:c r="Y27" s="30" t="str">
        <x:v>PASS</x:v>
      </x:c>
      <x:c r="Z27" s="30" t="str">
        <x:v>FINAL_APPROVED</x:v>
      </x:c>
    </x:row>
    <x:row r="28">
      <x:c r="A28" s="30" t="str">
        <x:v>VAL-688726-0024</x:v>
      </x:c>
      <x:c r="B28" s="30" t="str">
        <x:v>688726</x:v>
      </x:c>
      <x:c r="C28" s="30" t="str">
        <x:v>EVT-688726-0005</x:v>
      </x:c>
      <x:c r="D28" s="30"/>
      <x:c r="E28" s="30" t="str">
        <x:v>TRANSFER_AMOUNT</x:v>
      </x:c>
      <x:c r="F28" s="30" t="str">
        <x:v>逐笔老股转让对价求和</x:v>
      </x:c>
      <x:c r="G28" s="30" t="str">
        <x:v>万元人民币</x:v>
      </x:c>
      <x:c r="H28" s="73" t="n">
        <x:v>1152</x:v>
      </x:c>
      <x:c r="I28" s="73" t="str">
        <x:v>DISCLOSED_COMPLETE</x:v>
      </x:c>
      <x:c r="J28" s="73" t="n">
        <x:v>1152</x:v>
      </x:c>
      <x:c r="K28" s="73" t="str">
        <x:v>AVAILABLE</x:v>
      </x:c>
      <x:c r="L28" s="73" t="n">
        <x:v>1152</x:v>
      </x:c>
      <x:c r="M28" s="73" t="str">
        <x:v>AVAILABLE</x:v>
      </x:c>
      <x:c r="N28" s="73" t="n">
        <x:v>0</x:v>
      </x:c>
      <x:c r="O28" s="73" t="str">
        <x:v>AVAILABLE</x:v>
      </x:c>
      <x:c r="P28" s="76" t="n">
        <x:v>0</x:v>
      </x:c>
      <x:c r="Q28" s="76" t="str">
        <x:v>AVAILABLE</x:v>
      </x:c>
      <x:c r="R28" s="30" t="str">
        <x:v>240+135+135+105+105+432</x:v>
      </x:c>
      <x:c r="S28" s="73" t="str">
        <x:v>{"transfer_1": 240, "transfer_2": 135, "transfer_3": 135, "transfer_4": 105, "transfer_5": 105, "transfer_6": 432}</x:v>
      </x:c>
      <x:c r="T28" s="30" t="n">
        <x:v>0.0001</x:v>
      </x:c>
      <x:c r="U28" s="30" t="n">
        <x:v>0.000001</x:v>
      </x:c>
      <x:c r="V28" s="73" t="str">
        <x:v>CALCULATED</x:v>
      </x:c>
      <x:c r="W28" s="30" t="str">
        <x:v>GENERATED_VALIDATION</x:v>
      </x:c>
      <x:c r="X28" s="30" t="str">
        <x:v>EVD-688726-0005</x:v>
      </x:c>
      <x:c r="Y28" s="30" t="str">
        <x:v>PASS</x:v>
      </x:c>
      <x:c r="Z28" s="30" t="str">
        <x:v>FINAL_APPROVED</x:v>
      </x:c>
    </x:row>
    <x:row r="29">
      <x:c r="A29" s="30" t="str">
        <x:v>VAL-688726-0025</x:v>
      </x:c>
      <x:c r="B29" s="30" t="str">
        <x:v>688726</x:v>
      </x:c>
      <x:c r="C29" s="30" t="str">
        <x:v>EVT-688726-0007</x:v>
      </x:c>
      <x:c r="D29" s="30"/>
      <x:c r="E29" s="30" t="str">
        <x:v>TRANSFER_AMOUNT</x:v>
      </x:c>
      <x:c r="F29" s="30" t="str">
        <x:v>逐笔老股转让对价求和</x:v>
      </x:c>
      <x:c r="G29" s="30" t="str">
        <x:v>万元人民币</x:v>
      </x:c>
      <x:c r="H29" s="73" t="n">
        <x:v>4500</x:v>
      </x:c>
      <x:c r="I29" s="73" t="str">
        <x:v>DISCLOSED_COMPLETE</x:v>
      </x:c>
      <x:c r="J29" s="73" t="n">
        <x:v>4500</x:v>
      </x:c>
      <x:c r="K29" s="73" t="str">
        <x:v>AVAILABLE</x:v>
      </x:c>
      <x:c r="L29" s="73" t="n">
        <x:v>4500</x:v>
      </x:c>
      <x:c r="M29" s="73" t="str">
        <x:v>AVAILABLE</x:v>
      </x:c>
      <x:c r="N29" s="73" t="n">
        <x:v>0</x:v>
      </x:c>
      <x:c r="O29" s="73" t="str">
        <x:v>AVAILABLE</x:v>
      </x:c>
      <x:c r="P29" s="76" t="n">
        <x:v>0</x:v>
      </x:c>
      <x:c r="Q29" s="76" t="str">
        <x:v>AVAILABLE</x:v>
      </x:c>
      <x:c r="R29" s="30" t="str">
        <x:v>2000+800+600+1100</x:v>
      </x:c>
      <x:c r="S29" s="73" t="str">
        <x:v>{"transfer_1": 2000, "transfer_2": 800, "transfer_3": 600, "transfer_4": 1100}</x:v>
      </x:c>
      <x:c r="T29" s="30" t="n">
        <x:v>0.0001</x:v>
      </x:c>
      <x:c r="U29" s="30" t="n">
        <x:v>0.000001</x:v>
      </x:c>
      <x:c r="V29" s="73" t="str">
        <x:v>CALCULATED</x:v>
      </x:c>
      <x:c r="W29" s="30" t="str">
        <x:v>GENERATED_VALIDATION</x:v>
      </x:c>
      <x:c r="X29" s="30" t="str">
        <x:v>EVD-688726-0007</x:v>
      </x:c>
      <x:c r="Y29" s="30" t="str">
        <x:v>PASS</x:v>
      </x:c>
      <x:c r="Z29" s="30" t="str">
        <x:v>FINAL_APPROVED</x:v>
      </x:c>
    </x:row>
    <x:row r="30">
      <x:c r="A30" s="30" t="str">
        <x:v>VAL-688726-0026</x:v>
      </x:c>
      <x:c r="B30" s="30" t="str">
        <x:v>688726</x:v>
      </x:c>
      <x:c r="C30" s="30" t="str">
        <x:v>EVT-688726-0008</x:v>
      </x:c>
      <x:c r="D30" s="30"/>
      <x:c r="E30" s="30" t="str">
        <x:v>TRANSFER_AMOUNT</x:v>
      </x:c>
      <x:c r="F30" s="30" t="str">
        <x:v>逐笔老股转让对价求和</x:v>
      </x:c>
      <x:c r="G30" s="30" t="str">
        <x:v>万元人民币</x:v>
      </x:c>
      <x:c r="H30" s="73" t="n">
        <x:v>0.0002</x:v>
      </x:c>
      <x:c r="I30" s="73" t="str">
        <x:v>DISCLOSED_COMPLETE</x:v>
      </x:c>
      <x:c r="J30" s="73" t="n">
        <x:v>0.0002</x:v>
      </x:c>
      <x:c r="K30" s="73" t="str">
        <x:v>AVAILABLE</x:v>
      </x:c>
      <x:c r="L30" s="73" t="n">
        <x:v>0.0002</x:v>
      </x:c>
      <x:c r="M30" s="73" t="str">
        <x:v>AVAILABLE</x:v>
      </x:c>
      <x:c r="N30" s="73" t="n">
        <x:v>0</x:v>
      </x:c>
      <x:c r="O30" s="73" t="str">
        <x:v>AVAILABLE</x:v>
      </x:c>
      <x:c r="P30" s="76" t="n">
        <x:v>0</x:v>
      </x:c>
      <x:c r="Q30" s="76" t="str">
        <x:v>AVAILABLE</x:v>
      </x:c>
      <x:c r="R30" s="30" t="str">
        <x:v>0.0001+0.0001</x:v>
      </x:c>
      <x:c r="S30" s="73" t="str">
        <x:v>{"transfer_1": 0.0001, "transfer_2": 0.0001}</x:v>
      </x:c>
      <x:c r="T30" s="30" t="n">
        <x:v>0.0001</x:v>
      </x:c>
      <x:c r="U30" s="30" t="n">
        <x:v>0.000001</x:v>
      </x:c>
      <x:c r="V30" s="73" t="str">
        <x:v>CALCULATED</x:v>
      </x:c>
      <x:c r="W30" s="30" t="str">
        <x:v>GENERATED_VALIDATION</x:v>
      </x:c>
      <x:c r="X30" s="30" t="str">
        <x:v>EVD-688726-0008</x:v>
      </x:c>
      <x:c r="Y30" s="30" t="str">
        <x:v>PASS</x:v>
      </x:c>
      <x:c r="Z30" s="30" t="str">
        <x:v>FINAL_APPROVED</x:v>
      </x:c>
    </x:row>
    <x:row r="31">
      <x:c r="A31" s="30" t="str">
        <x:v>VAL-688726-0027</x:v>
      </x:c>
      <x:c r="B31" s="30" t="str">
        <x:v>688726</x:v>
      </x:c>
      <x:c r="C31" s="30" t="str">
        <x:v>EVT-688726-0010</x:v>
      </x:c>
      <x:c r="D31" s="30"/>
      <x:c r="E31" s="30" t="str">
        <x:v>TRANSFER_AMOUNT</x:v>
      </x:c>
      <x:c r="F31" s="30" t="str">
        <x:v>逐笔老股转让对价求和</x:v>
      </x:c>
      <x:c r="G31" s="30" t="str">
        <x:v>万元人民币</x:v>
      </x:c>
      <x:c r="H31" s="73" t="n">
        <x:v>8000</x:v>
      </x:c>
      <x:c r="I31" s="73" t="str">
        <x:v>DISCLOSED_COMPLETE</x:v>
      </x:c>
      <x:c r="J31" s="73" t="n">
        <x:v>8000</x:v>
      </x:c>
      <x:c r="K31" s="73" t="str">
        <x:v>AVAILABLE</x:v>
      </x:c>
      <x:c r="L31" s="73" t="n">
        <x:v>8000</x:v>
      </x:c>
      <x:c r="M31" s="73" t="str">
        <x:v>AVAILABLE</x:v>
      </x:c>
      <x:c r="N31" s="73" t="n">
        <x:v>0</x:v>
      </x:c>
      <x:c r="O31" s="73" t="str">
        <x:v>AVAILABLE</x:v>
      </x:c>
      <x:c r="P31" s="76" t="n">
        <x:v>0</x:v>
      </x:c>
      <x:c r="Q31" s="76" t="str">
        <x:v>AVAILABLE</x:v>
      </x:c>
      <x:c r="R31" s="30" t="str">
        <x:v>1500+3200+3300</x:v>
      </x:c>
      <x:c r="S31" s="73" t="str">
        <x:v>{"transfer_1": 1500, "transfer_2": 3200, "transfer_3": 3300}</x:v>
      </x:c>
      <x:c r="T31" s="30" t="n">
        <x:v>0.0001</x:v>
      </x:c>
      <x:c r="U31" s="30" t="n">
        <x:v>0.000001</x:v>
      </x:c>
      <x:c r="V31" s="73" t="str">
        <x:v>CALCULATED</x:v>
      </x:c>
      <x:c r="W31" s="30" t="str">
        <x:v>GENERATED_VALIDATION</x:v>
      </x:c>
      <x:c r="X31" s="30" t="str">
        <x:v>EVD-688726-0010</x:v>
      </x:c>
      <x:c r="Y31" s="30" t="str">
        <x:v>PASS</x:v>
      </x:c>
      <x:c r="Z31" s="30" t="str">
        <x:v>FINAL_APPROVED</x:v>
      </x:c>
    </x:row>
    <x:row r="32">
      <x:c r="A32" s="30" t="str">
        <x:v>VAL-688726-0028</x:v>
      </x:c>
      <x:c r="B32" s="30" t="str">
        <x:v>688726</x:v>
      </x:c>
      <x:c r="C32" s="30" t="str">
        <x:v>EVT-688726-0011</x:v>
      </x:c>
      <x:c r="D32" s="30"/>
      <x:c r="E32" s="30" t="str">
        <x:v>TRANSFER_AMOUNT</x:v>
      </x:c>
      <x:c r="F32" s="30" t="str">
        <x:v>逐笔老股转让对价求和</x:v>
      </x:c>
      <x:c r="G32" s="30" t="str">
        <x:v>万元人民币</x:v>
      </x:c>
      <x:c r="H32" s="73" t="n">
        <x:v>2300</x:v>
      </x:c>
      <x:c r="I32" s="73" t="str">
        <x:v>DISCLOSED_COMPLETE</x:v>
      </x:c>
      <x:c r="J32" s="73" t="n">
        <x:v>2300</x:v>
      </x:c>
      <x:c r="K32" s="73" t="str">
        <x:v>AVAILABLE</x:v>
      </x:c>
      <x:c r="L32" s="73" t="n">
        <x:v>2300</x:v>
      </x:c>
      <x:c r="M32" s="73" t="str">
        <x:v>AVAILABLE</x:v>
      </x:c>
      <x:c r="N32" s="73" t="n">
        <x:v>0</x:v>
      </x:c>
      <x:c r="O32" s="73" t="str">
        <x:v>AVAILABLE</x:v>
      </x:c>
      <x:c r="P32" s="76" t="n">
        <x:v>0</x:v>
      </x:c>
      <x:c r="Q32" s="76" t="str">
        <x:v>AVAILABLE</x:v>
      </x:c>
      <x:c r="R32" s="30" t="str">
        <x:v>1000+1300</x:v>
      </x:c>
      <x:c r="S32" s="73" t="str">
        <x:v>{"transfer_1": 1000, "transfer_2": 1300}</x:v>
      </x:c>
      <x:c r="T32" s="30" t="n">
        <x:v>0.0001</x:v>
      </x:c>
      <x:c r="U32" s="30" t="n">
        <x:v>0.000001</x:v>
      </x:c>
      <x:c r="V32" s="73" t="str">
        <x:v>CALCULATED</x:v>
      </x:c>
      <x:c r="W32" s="30" t="str">
        <x:v>GENERATED_VALIDATION</x:v>
      </x:c>
      <x:c r="X32" s="30" t="str">
        <x:v>EVD-688726-0011</x:v>
      </x:c>
      <x:c r="Y32" s="30" t="str">
        <x:v>PASS</x:v>
      </x:c>
      <x:c r="Z32" s="30" t="str">
        <x:v>FINAL_APPROVED</x:v>
      </x:c>
    </x:row>
    <x:row r="33">
      <x:c r="A33" s="30" t="str">
        <x:v>VAL-688726-0029</x:v>
      </x:c>
      <x:c r="B33" s="30" t="str">
        <x:v>688726</x:v>
      </x:c>
      <x:c r="C33" s="30" t="str">
        <x:v>EVT-688726-0012</x:v>
      </x:c>
      <x:c r="D33" s="30"/>
      <x:c r="E33" s="30" t="str">
        <x:v>TRANSFER_AMOUNT</x:v>
      </x:c>
      <x:c r="F33" s="30" t="str">
        <x:v>逐笔老股转让对价求和</x:v>
      </x:c>
      <x:c r="G33" s="30" t="str">
        <x:v>万元人民币</x:v>
      </x:c>
      <x:c r="H33" s="73" t="n">
        <x:v>1152</x:v>
      </x:c>
      <x:c r="I33" s="73" t="str">
        <x:v>DISCLOSED_COMPLETE</x:v>
      </x:c>
      <x:c r="J33" s="73" t="n">
        <x:v>1152</x:v>
      </x:c>
      <x:c r="K33" s="73" t="str">
        <x:v>AVAILABLE</x:v>
      </x:c>
      <x:c r="L33" s="73" t="n">
        <x:v>1152</x:v>
      </x:c>
      <x:c r="M33" s="73" t="str">
        <x:v>AVAILABLE</x:v>
      </x:c>
      <x:c r="N33" s="73" t="n">
        <x:v>0</x:v>
      </x:c>
      <x:c r="O33" s="73" t="str">
        <x:v>AVAILABLE</x:v>
      </x:c>
      <x:c r="P33" s="76" t="n">
        <x:v>0</x:v>
      </x:c>
      <x:c r="Q33" s="76" t="str">
        <x:v>AVAILABLE</x:v>
      </x:c>
      <x:c r="R33" s="30" t="str">
        <x:v>105+105+105+90+315+432</x:v>
      </x:c>
      <x:c r="S33" s="73" t="str">
        <x:v>{"transfer_1": 105, "transfer_2": 105, "transfer_3": 105, "transfer_4": 90, "transfer_5": 315, "transfer_6": 432}</x:v>
      </x:c>
      <x:c r="T33" s="30" t="n">
        <x:v>0.0001</x:v>
      </x:c>
      <x:c r="U33" s="30" t="n">
        <x:v>0.000001</x:v>
      </x:c>
      <x:c r="V33" s="73" t="str">
        <x:v>CALCULATED</x:v>
      </x:c>
      <x:c r="W33" s="30" t="str">
        <x:v>GENERATED_VALIDATION</x:v>
      </x:c>
      <x:c r="X33" s="30" t="str">
        <x:v>EVD-688726-0012</x:v>
      </x:c>
      <x:c r="Y33" s="30" t="str">
        <x:v>PASS</x:v>
      </x:c>
      <x:c r="Z33" s="30" t="str">
        <x:v>FINAL_APPROVED</x:v>
      </x:c>
    </x:row>
    <x:row r="34">
      <x:c r="A34" s="30" t="str">
        <x:v>VAL-688726-0030</x:v>
      </x:c>
      <x:c r="B34" s="30" t="str">
        <x:v>688726</x:v>
      </x:c>
      <x:c r="C34" s="30" t="str">
        <x:v>EVT-688726-0015</x:v>
      </x:c>
      <x:c r="D34" s="30"/>
      <x:c r="E34" s="30" t="str">
        <x:v>TRANSFER_AMOUNT</x:v>
      </x:c>
      <x:c r="F34" s="30" t="str">
        <x:v>逐笔老股转让对价求和</x:v>
      </x:c>
      <x:c r="G34" s="30" t="str">
        <x:v>万元人民币</x:v>
      </x:c>
      <x:c r="H34" s="73" t="n">
        <x:v>19873.5127</x:v>
      </x:c>
      <x:c r="I34" s="73" t="str">
        <x:v>DISCLOSED_COMPLETE</x:v>
      </x:c>
      <x:c r="J34" s="73" t="n">
        <x:v>19873.5127</x:v>
      </x:c>
      <x:c r="K34" s="73" t="str">
        <x:v>AVAILABLE</x:v>
      </x:c>
      <x:c r="L34" s="73" t="n">
        <x:v>19873.5127</x:v>
      </x:c>
      <x:c r="M34" s="73" t="str">
        <x:v>AVAILABLE</x:v>
      </x:c>
      <x:c r="N34" s="73" t="n">
        <x:v>0</x:v>
      </x:c>
      <x:c r="O34" s="73" t="str">
        <x:v>AVAILABLE</x:v>
      </x:c>
      <x:c r="P34" s="76" t="n">
        <x:v>0</x:v>
      </x:c>
      <x:c r="Q34" s="76" t="str">
        <x:v>AVAILABLE</x:v>
      </x:c>
      <x:c r="R34" s="30" t="str">
        <x:v>5000+3782.1009+2000+597.5145+8493.8973</x:v>
      </x:c>
      <x:c r="S34" s="73" t="str">
        <x:v>{"transfer_1": 5000, "transfer_2": 3782.1009, "transfer_3": 2000, "transfer_4": 597.5145, "transfer_5": 8493.8973}</x:v>
      </x:c>
      <x:c r="T34" s="30" t="n">
        <x:v>0.0001</x:v>
      </x:c>
      <x:c r="U34" s="30" t="n">
        <x:v>0.000001</x:v>
      </x:c>
      <x:c r="V34" s="73" t="str">
        <x:v>CALCULATED</x:v>
      </x:c>
      <x:c r="W34" s="30" t="str">
        <x:v>GENERATED_VALIDATION</x:v>
      </x:c>
      <x:c r="X34" s="30" t="str">
        <x:v>EVD-688726-0015</x:v>
      </x:c>
      <x:c r="Y34" s="30" t="str">
        <x:v>PASS</x:v>
      </x:c>
      <x:c r="Z34" s="30" t="str">
        <x:v>FINAL_APPROVED</x:v>
      </x:c>
    </x:row>
    <x:row r="35">
      <x:c r="A35" s="31" t="str">
        <x:v>VAL-688726-0031</x:v>
      </x:c>
      <x:c r="B35" s="31" t="str">
        <x:v>688726</x:v>
      </x:c>
      <x:c r="C35" s="31" t="str">
        <x:v>EVT-688726-0017</x:v>
      </x:c>
      <x:c r="D35" s="31"/>
      <x:c r="E35" s="31" t="str">
        <x:v>TRANSFER_AMOUNT</x:v>
      </x:c>
      <x:c r="F35" s="31" t="str">
        <x:v>逐笔老股转让对价求和</x:v>
      </x:c>
      <x:c r="G35" s="31" t="str">
        <x:v>万元人民币</x:v>
      </x:c>
      <x:c r="H35" s="74" t="n">
        <x:v>7005.8789</x:v>
      </x:c>
      <x:c r="I35" s="74" t="str">
        <x:v>DISCLOSED_COMPLETE</x:v>
      </x:c>
      <x:c r="J35" s="74" t="n">
        <x:v>7005.8789</x:v>
      </x:c>
      <x:c r="K35" s="74" t="str">
        <x:v>AVAILABLE</x:v>
      </x:c>
      <x:c r="L35" s="74" t="n">
        <x:v>7005.8789</x:v>
      </x:c>
      <x:c r="M35" s="74" t="str">
        <x:v>AVAILABLE</x:v>
      </x:c>
      <x:c r="N35" s="74" t="n">
        <x:v>0</x:v>
      </x:c>
      <x:c r="O35" s="74" t="str">
        <x:v>AVAILABLE</x:v>
      </x:c>
      <x:c r="P35" s="77" t="n">
        <x:v>0</x:v>
      </x:c>
      <x:c r="Q35" s="77" t="str">
        <x:v>AVAILABLE</x:v>
      </x:c>
      <x:c r="R35" s="31" t="str">
        <x:v>2430.3087+3050.3663+1525.2039</x:v>
      </x:c>
      <x:c r="S35" s="74" t="str">
        <x:v>{"transfer_1": 2430.3087, "transfer_2": 3050.3663, "transfer_3": 1525.2039}</x:v>
      </x:c>
      <x:c r="T35" s="31" t="n">
        <x:v>0.0001</x:v>
      </x:c>
      <x:c r="U35" s="31" t="n">
        <x:v>0.000001</x:v>
      </x:c>
      <x:c r="V35" s="74" t="str">
        <x:v>CALCULATED</x:v>
      </x:c>
      <x:c r="W35" s="31" t="str">
        <x:v>GENERATED_VALIDATION</x:v>
      </x:c>
      <x:c r="X35" s="31" t="str">
        <x:v>EVD-688726-0017</x:v>
      </x:c>
      <x:c r="Y35" s="31" t="str">
        <x:v>PASS</x:v>
      </x:c>
      <x:c r="Z35" s="31" t="str">
        <x:v>FINAL_APPROVED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8" hidden="0" customWidth="1"/>
    <x:col min="15" max="15" width="24" hidden="0" customWidth="1"/>
    <x:col min="16" max="16" width="18" hidden="0" customWidth="1"/>
    <x:col min="17" max="17" width="18" hidden="0" customWidth="1"/>
    <x:col min="18" max="18" width="48" hidden="0" customWidth="1"/>
    <x:col min="19" max="19" width="18" hidden="0" customWidth="1"/>
    <x:col min="20" max="20" width="24" hidden="0" customWidth="1"/>
    <x:col min="21" max="21" width="24" hidden="0" customWidth="1"/>
    <x:col min="22" max="22" width="24" hidden="0" customWidth="1"/>
    <x:col min="23" max="23" width="48" hidden="0" customWidth="1"/>
    <x:col min="24" max="24" width="24" hidden="0" customWidth="1"/>
  </x:cols>
  <x:sheetData>
    <x:row r="1" ht="30" customHeight="1">
      <x:c r="A1" s="3" t="str">
        <x:v>investment_paths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</x:row>
    <x:row r="4" ht="30" customHeight="1">
      <x:c r="A4" s="19" t="str">
        <x:v>path_id</x:v>
      </x:c>
      <x:c r="B4" s="20" t="str">
        <x:v>path_edge_id</x:v>
      </x:c>
      <x:c r="C4" s="20" t="str">
        <x:v>edge_sequence</x:v>
      </x:c>
      <x:c r="D4" s="20" t="str">
        <x:v>company_id</x:v>
      </x:c>
      <x:c r="E4" s="20" t="str">
        <x:v>from_entity_id</x:v>
      </x:c>
      <x:c r="F4" s="20" t="str">
        <x:v>to_entity_id</x:v>
      </x:c>
      <x:c r="G4" s="20" t="str">
        <x:v>edge_type_source</x:v>
      </x:c>
      <x:c r="H4" s="20" t="str">
        <x:v>edge_type_standardized</x:v>
      </x:c>
      <x:c r="I4" s="20" t="str">
        <x:v>ownership_ratio</x:v>
      </x:c>
      <x:c r="J4" s="20" t="str">
        <x:v>ownership_ratio_status</x:v>
      </x:c>
      <x:c r="K4" s="20" t="str">
        <x:v>equity_path_flag</x:v>
      </x:c>
      <x:c r="L4" s="20" t="str">
        <x:v>investor_entity_id</x:v>
      </x:c>
      <x:c r="M4" s="20" t="str">
        <x:v>event_id</x:v>
      </x:c>
      <x:c r="N4" s="20" t="str">
        <x:v>transaction_id</x:v>
      </x:c>
      <x:c r="O4" s="20" t="str">
        <x:v>entry_method</x:v>
      </x:c>
      <x:c r="P4" s="20" t="str">
        <x:v>investment_level</x:v>
      </x:c>
      <x:c r="Q4" s="20" t="str">
        <x:v>direct_indirect</x:v>
      </x:c>
      <x:c r="R4" s="20" t="str">
        <x:v>transaction_date</x:v>
      </x:c>
      <x:c r="S4" s="20" t="str">
        <x:v>date_precision</x:v>
      </x:c>
      <x:c r="T4" s="20" t="str">
        <x:v>evidence_ids</x:v>
      </x:c>
      <x:c r="U4" s="20" t="str">
        <x:v>source_path_status</x:v>
      </x:c>
      <x:c r="V4" s="20" t="str">
        <x:v>standardized_path_status</x:v>
      </x:c>
      <x:c r="W4" s="20" t="str">
        <x:v>standardization_basis</x:v>
      </x:c>
      <x:c r="X4" s="21" t="str">
        <x:v>review_status</x:v>
      </x:c>
    </x:row>
    <x:row r="5">
      <x:c r="A5" s="29" t="str">
        <x:v>PATH-688726-0001</x:v>
      </x:c>
      <x:c r="B5" s="29" t="str">
        <x:v>PATH-688726-0001-E01</x:v>
      </x:c>
      <x:c r="C5" s="29" t="n">
        <x:v>1</x:v>
      </x:c>
      <x:c r="D5" s="29" t="str">
        <x:v>688726</x:v>
      </x:c>
      <x:c r="E5" s="29" t="str">
        <x:v>STD-688726-067</x:v>
      </x:c>
      <x:c r="F5" s="29" t="str">
        <x:v>STD-688726-ISSUER</x:v>
      </x:c>
      <x:c r="G5" s="29" t="str">
        <x:v>EQUITY_HOLDING</x:v>
      </x:c>
      <x:c r="H5" s="29" t="str">
        <x:v>EQUITY_HOLDING</x:v>
      </x:c>
      <x:c r="I5" s="75" t="n">
        <x:v>0.4</x:v>
      </x:c>
      <x:c r="J5" s="75" t="str">
        <x:v>DISCLOSED_COMPLETE</x:v>
      </x:c>
      <x:c r="K5" s="69" t="b">
        <x:v>1</x:v>
      </x:c>
      <x:c r="L5" s="29" t="str">
        <x:v>STD-688726-067</x:v>
      </x:c>
      <x:c r="M5" s="29" t="str">
        <x:v>EVT-688726-EST</x:v>
      </x:c>
      <x:c r="N5" s="29" t="str">
        <x:v>TRX-688726-0001</x:v>
      </x:c>
      <x:c r="O5" s="29" t="str">
        <x:v>ESTABLISHMENT_ENTRY</x:v>
      </x:c>
      <x:c r="P5" s="29" t="str">
        <x:v>ISSUER_LEVEL</x:v>
      </x:c>
      <x:c r="Q5" s="29" t="str">
        <x:v>DIRECT</x:v>
      </x:c>
      <x:c r="R5" s="29" t="str">
        <x:v>2016-05</x:v>
      </x:c>
      <x:c r="S5" s="29" t="str">
        <x:v>MONTH</x:v>
      </x:c>
      <x:c r="T5" s="29" t="str">
        <x:v>EVD-688726-0000</x:v>
      </x:c>
      <x:c r="U5" s="29" t="str">
        <x:v>WEEK11_PROSPECTUS_IDENTIFIED</x:v>
      </x:c>
      <x:c r="V5" s="29" t="str">
        <x:v>CONFIRMED</x:v>
      </x:c>
      <x:c r="W5" s="29" t="str">
        <x:v>WEEK8_SCHEMA_V1.0_DIRECT_REUSE_WITH_OBSERVATION_WINDOW_NOTE</x:v>
      </x:c>
      <x:c r="X5" s="29" t="str">
        <x:v>FINAL_APPROVED</x:v>
      </x:c>
    </x:row>
    <x:row r="6">
      <x:c r="A6" s="30" t="str">
        <x:v>PATH-688726-0002</x:v>
      </x:c>
      <x:c r="B6" s="30" t="str">
        <x:v>PATH-688726-0002-E01</x:v>
      </x:c>
      <x:c r="C6" s="30" t="n">
        <x:v>1</x:v>
      </x:c>
      <x:c r="D6" s="30" t="str">
        <x:v>688726</x:v>
      </x:c>
      <x:c r="E6" s="30" t="str">
        <x:v>STD-688726-002</x:v>
      </x:c>
      <x:c r="F6" s="30" t="str">
        <x:v>STD-688726-ISSUER</x:v>
      </x:c>
      <x:c r="G6" s="30" t="str">
        <x:v>EQUITY_HOLDING</x:v>
      </x:c>
      <x:c r="H6" s="30" t="str">
        <x:v>EQUITY_HOLDING</x:v>
      </x:c>
      <x:c r="I6" s="76" t="n">
        <x:v>0.4</x:v>
      </x:c>
      <x:c r="J6" s="76" t="str">
        <x:v>DISCLOSED_COMPLETE</x:v>
      </x:c>
      <x:c r="K6" s="70" t="b">
        <x:v>1</x:v>
      </x:c>
      <x:c r="L6" s="30" t="str">
        <x:v>STD-688726-002</x:v>
      </x:c>
      <x:c r="M6" s="30" t="str">
        <x:v>EVT-688726-EST</x:v>
      </x:c>
      <x:c r="N6" s="30" t="str">
        <x:v>TRX-688726-0001</x:v>
      </x:c>
      <x:c r="O6" s="30" t="str">
        <x:v>ESTABLISHMENT_ENTRY</x:v>
      </x:c>
      <x:c r="P6" s="30" t="str">
        <x:v>ISSUER_LEVEL</x:v>
      </x:c>
      <x:c r="Q6" s="30" t="str">
        <x:v>DIRECT</x:v>
      </x:c>
      <x:c r="R6" s="30" t="str">
        <x:v>2016-05</x:v>
      </x:c>
      <x:c r="S6" s="30" t="str">
        <x:v>MONTH</x:v>
      </x:c>
      <x:c r="T6" s="30" t="str">
        <x:v>EVD-688726-0000</x:v>
      </x:c>
      <x:c r="U6" s="30" t="str">
        <x:v>WEEK11_PROSPECTUS_IDENTIFIED</x:v>
      </x:c>
      <x:c r="V6" s="30" t="str">
        <x:v>CONFIRMED</x:v>
      </x:c>
      <x:c r="W6" s="30" t="str">
        <x:v>WEEK8_SCHEMA_V1.0_DIRECT_REUSE_WITH_OBSERVATION_WINDOW_NOTE</x:v>
      </x:c>
      <x:c r="X6" s="30" t="str">
        <x:v>FINAL_APPROVED</x:v>
      </x:c>
    </x:row>
    <x:row r="7">
      <x:c r="A7" s="30" t="str">
        <x:v>PATH-688726-0003</x:v>
      </x:c>
      <x:c r="B7" s="30" t="str">
        <x:v>PATH-688726-0003-E01</x:v>
      </x:c>
      <x:c r="C7" s="30" t="n">
        <x:v>1</x:v>
      </x:c>
      <x:c r="D7" s="30" t="str">
        <x:v>688726</x:v>
      </x:c>
      <x:c r="E7" s="30" t="str">
        <x:v>STD-688726-009</x:v>
      </x:c>
      <x:c r="F7" s="30" t="str">
        <x:v>STD-688726-ISSUER</x:v>
      </x:c>
      <x:c r="G7" s="30" t="str">
        <x:v>EQUITY_HOLDING</x:v>
      </x:c>
      <x:c r="H7" s="30" t="str">
        <x:v>EQUITY_HOLDING</x:v>
      </x:c>
      <x:c r="I7" s="76" t="n">
        <x:v>0.2</x:v>
      </x:c>
      <x:c r="J7" s="76" t="str">
        <x:v>DISCLOSED_COMPLETE</x:v>
      </x:c>
      <x:c r="K7" s="70" t="b">
        <x:v>1</x:v>
      </x:c>
      <x:c r="L7" s="30" t="str">
        <x:v>STD-688726-009</x:v>
      </x:c>
      <x:c r="M7" s="30" t="str">
        <x:v>EVT-688726-EST</x:v>
      </x:c>
      <x:c r="N7" s="30" t="str">
        <x:v>TRX-688726-0001</x:v>
      </x:c>
      <x:c r="O7" s="30" t="str">
        <x:v>ESTABLISHMENT_ENTRY</x:v>
      </x:c>
      <x:c r="P7" s="30" t="str">
        <x:v>ISSUER_LEVEL</x:v>
      </x:c>
      <x:c r="Q7" s="30" t="str">
        <x:v>DIRECT</x:v>
      </x:c>
      <x:c r="R7" s="30" t="str">
        <x:v>2016-05</x:v>
      </x:c>
      <x:c r="S7" s="30" t="str">
        <x:v>MONTH</x:v>
      </x:c>
      <x:c r="T7" s="30" t="str">
        <x:v>EVD-688726-0000</x:v>
      </x:c>
      <x:c r="U7" s="30" t="str">
        <x:v>WEEK11_PROSPECTUS_IDENTIFIED</x:v>
      </x:c>
      <x:c r="V7" s="30" t="str">
        <x:v>CONFIRMED</x:v>
      </x:c>
      <x:c r="W7" s="30" t="str">
        <x:v>WEEK8_SCHEMA_V1.0_DIRECT_REUSE_WITH_OBSERVATION_WINDOW_NOTE</x:v>
      </x:c>
      <x:c r="X7" s="30" t="str">
        <x:v>FINAL_APPROVED</x:v>
      </x:c>
    </x:row>
    <x:row r="8">
      <x:c r="A8" s="30" t="str">
        <x:v>PATH-688726-0004</x:v>
      </x:c>
      <x:c r="B8" s="30" t="str">
        <x:v>PATH-688726-0004-E01</x:v>
      </x:c>
      <x:c r="C8" s="30" t="n">
        <x:v>1</x:v>
      </x:c>
      <x:c r="D8" s="30" t="str">
        <x:v>688726</x:v>
      </x:c>
      <x:c r="E8" s="30" t="str">
        <x:v>STD-688726-065</x:v>
      </x:c>
      <x:c r="F8" s="30" t="str">
        <x:v>STD-688726-ISSUER</x:v>
      </x:c>
      <x:c r="G8" s="30" t="str">
        <x:v>CAPITAL_INCREASE</x:v>
      </x:c>
      <x:c r="H8" s="30" t="str">
        <x:v>CAPITAL_INCREASE</x:v>
      </x:c>
      <x:c r="I8" s="76" t="n">
        <x:v>0.34999999385295</x:v>
      </x:c>
      <x:c r="J8" s="76" t="str">
        <x:v>DISCLOSED_COMPLETE</x:v>
      </x:c>
      <x:c r="K8" s="70" t="b">
        <x:v>1</x:v>
      </x:c>
      <x:c r="L8" s="30" t="str">
        <x:v>STD-688726-065</x:v>
      </x:c>
      <x:c r="M8" s="30" t="str">
        <x:v>EVT-688726-0001</x:v>
      </x:c>
      <x:c r="N8" s="30" t="str">
        <x:v>TRX-688726-0002</x:v>
      </x:c>
      <x:c r="O8" s="30" t="str">
        <x:v>CAPITAL_INCREASE_ENTRY</x:v>
      </x:c>
      <x:c r="P8" s="30" t="str">
        <x:v>ISSUER_LEVEL</x:v>
      </x:c>
      <x:c r="Q8" s="30" t="str">
        <x:v>DIRECT</x:v>
      </x:c>
      <x:c r="R8" s="30" t="str">
        <x:v>2020-04</x:v>
      </x:c>
      <x:c r="S8" s="30" t="str">
        <x:v>MONTH</x:v>
      </x:c>
      <x:c r="T8" s="30" t="str">
        <x:v>EVD-688726-0001</x:v>
      </x:c>
      <x:c r="U8" s="30" t="str">
        <x:v>WEEK11_PROSPECTUS_IDENTIFIED</x:v>
      </x:c>
      <x:c r="V8" s="30" t="str">
        <x:v>CONFIRMED</x:v>
      </x:c>
      <x:c r="W8" s="30" t="str">
        <x:v>WEEK8_SCHEMA_V1.0_DIRECT_REUSE_WITH_OBSERVATION_WINDOW_NOTE</x:v>
      </x:c>
      <x:c r="X8" s="30" t="str">
        <x:v>FINAL_APPROVED</x:v>
      </x:c>
    </x:row>
    <x:row r="9">
      <x:c r="A9" s="30" t="str">
        <x:v>PATH-688726-0005</x:v>
      </x:c>
      <x:c r="B9" s="30" t="str">
        <x:v>PATH-688726-0005-E01</x:v>
      </x:c>
      <x:c r="C9" s="30" t="n">
        <x:v>1</x:v>
      </x:c>
      <x:c r="D9" s="30" t="str">
        <x:v>688726</x:v>
      </x:c>
      <x:c r="E9" s="30" t="str">
        <x:v>STD-688726-021</x:v>
      </x:c>
      <x:c r="F9" s="30" t="str">
        <x:v>STD-688726-ISSUER</x:v>
      </x:c>
      <x:c r="G9" s="30" t="str">
        <x:v>CAPITAL_INCREASE</x:v>
      </x:c>
      <x:c r="H9" s="30" t="str">
        <x:v>CAPITAL_INCREASE</x:v>
      </x:c>
      <x:c r="I9" s="76" t="n">
        <x:v>0.004918041707621796</x:v>
      </x:c>
      <x:c r="J9" s="76" t="str">
        <x:v>DISCLOSED_COMPLETE</x:v>
      </x:c>
      <x:c r="K9" s="70" t="b">
        <x:v>1</x:v>
      </x:c>
      <x:c r="L9" s="30" t="str">
        <x:v>STD-688726-021</x:v>
      </x:c>
      <x:c r="M9" s="30" t="str">
        <x:v>EVT-688726-0003</x:v>
      </x:c>
      <x:c r="N9" s="30" t="str">
        <x:v>TRX-688726-0004</x:v>
      </x:c>
      <x:c r="O9" s="30" t="str">
        <x:v>CAPITAL_INCREASE_ENTRY</x:v>
      </x:c>
      <x:c r="P9" s="30" t="str">
        <x:v>ISSUER_LEVEL</x:v>
      </x:c>
      <x:c r="Q9" s="30" t="str">
        <x:v>DIRECT</x:v>
      </x:c>
      <x:c r="R9" s="30" t="str">
        <x:v>2020-11</x:v>
      </x:c>
      <x:c r="S9" s="30" t="str">
        <x:v>MONTH</x:v>
      </x:c>
      <x:c r="T9" s="30" t="str">
        <x:v>EVD-688726-0003</x:v>
      </x:c>
      <x:c r="U9" s="30" t="str">
        <x:v>WEEK11_PROSPECTUS_IDENTIFIED</x:v>
      </x:c>
      <x:c r="V9" s="30" t="str">
        <x:v>CONFIRMED</x:v>
      </x:c>
      <x:c r="W9" s="30" t="str">
        <x:v>WEEK8_SCHEMA_V1.0_DIRECT_REUSE_WITH_OBSERVATION_WINDOW_NOTE</x:v>
      </x:c>
      <x:c r="X9" s="30" t="str">
        <x:v>FINAL_APPROVED</x:v>
      </x:c>
    </x:row>
    <x:row r="10">
      <x:c r="A10" s="30" t="str">
        <x:v>PATH-688726-0006</x:v>
      </x:c>
      <x:c r="B10" s="30" t="str">
        <x:v>PATH-688726-0006-E01</x:v>
      </x:c>
      <x:c r="C10" s="30" t="n">
        <x:v>1</x:v>
      </x:c>
      <x:c r="D10" s="30" t="str">
        <x:v>688726</x:v>
      </x:c>
      <x:c r="E10" s="30" t="str">
        <x:v>STD-688726-029</x:v>
      </x:c>
      <x:c r="F10" s="30" t="str">
        <x:v>STD-688726-ISSUER</x:v>
      </x:c>
      <x:c r="G10" s="30" t="str">
        <x:v>CAPITAL_INCREASE</x:v>
      </x:c>
      <x:c r="H10" s="30" t="str">
        <x:v>CAPITAL_INCREASE</x:v>
      </x:c>
      <x:c r="I10" s="76" t="n">
        <x:v>0.004426277845372916</x:v>
      </x:c>
      <x:c r="J10" s="76" t="str">
        <x:v>DISCLOSED_COMPLETE</x:v>
      </x:c>
      <x:c r="K10" s="70" t="b">
        <x:v>1</x:v>
      </x:c>
      <x:c r="L10" s="30" t="str">
        <x:v>STD-688726-029</x:v>
      </x:c>
      <x:c r="M10" s="30" t="str">
        <x:v>EVT-688726-0003</x:v>
      </x:c>
      <x:c r="N10" s="30" t="str">
        <x:v>TRX-688726-0004</x:v>
      </x:c>
      <x:c r="O10" s="30" t="str">
        <x:v>CAPITAL_INCREASE_ENTRY</x:v>
      </x:c>
      <x:c r="P10" s="30" t="str">
        <x:v>ISSUER_LEVEL</x:v>
      </x:c>
      <x:c r="Q10" s="30" t="str">
        <x:v>DIRECT</x:v>
      </x:c>
      <x:c r="R10" s="30" t="str">
        <x:v>2020-11</x:v>
      </x:c>
      <x:c r="S10" s="30" t="str">
        <x:v>MONTH</x:v>
      </x:c>
      <x:c r="T10" s="30" t="str">
        <x:v>EVD-688726-0003</x:v>
      </x:c>
      <x:c r="U10" s="30" t="str">
        <x:v>WEEK11_PROSPECTUS_IDENTIFIED</x:v>
      </x:c>
      <x:c r="V10" s="30" t="str">
        <x:v>CONFIRMED</x:v>
      </x:c>
      <x:c r="W10" s="30" t="str">
        <x:v>WEEK8_SCHEMA_V1.0_DIRECT_REUSE_WITH_OBSERVATION_WINDOW_NOTE</x:v>
      </x:c>
      <x:c r="X10" s="30" t="str">
        <x:v>FINAL_APPROVED</x:v>
      </x:c>
    </x:row>
    <x:row r="11">
      <x:c r="A11" s="30" t="str">
        <x:v>PATH-688726-0007</x:v>
      </x:c>
      <x:c r="B11" s="30" t="str">
        <x:v>PATH-688726-0007-E01</x:v>
      </x:c>
      <x:c r="C11" s="30" t="n">
        <x:v>1</x:v>
      </x:c>
      <x:c r="D11" s="30" t="str">
        <x:v>688726</x:v>
      </x:c>
      <x:c r="E11" s="30" t="str">
        <x:v>STD-688726-041</x:v>
      </x:c>
      <x:c r="F11" s="30" t="str">
        <x:v>STD-688726-ISSUER</x:v>
      </x:c>
      <x:c r="G11" s="30" t="str">
        <x:v>CAPITAL_INCREASE</x:v>
      </x:c>
      <x:c r="H11" s="30" t="str">
        <x:v>CAPITAL_INCREASE</x:v>
      </x:c>
      <x:c r="I11" s="76" t="n">
        <x:v>0.004426277845372916</x:v>
      </x:c>
      <x:c r="J11" s="76" t="str">
        <x:v>DISCLOSED_COMPLETE</x:v>
      </x:c>
      <x:c r="K11" s="70" t="b">
        <x:v>1</x:v>
      </x:c>
      <x:c r="L11" s="30" t="str">
        <x:v>STD-688726-041</x:v>
      </x:c>
      <x:c r="M11" s="30" t="str">
        <x:v>EVT-688726-0003</x:v>
      </x:c>
      <x:c r="N11" s="30" t="str">
        <x:v>TRX-688726-0004</x:v>
      </x:c>
      <x:c r="O11" s="30" t="str">
        <x:v>CAPITAL_INCREASE_ENTRY</x:v>
      </x:c>
      <x:c r="P11" s="30" t="str">
        <x:v>ISSUER_LEVEL</x:v>
      </x:c>
      <x:c r="Q11" s="30" t="str">
        <x:v>DIRECT</x:v>
      </x:c>
      <x:c r="R11" s="30" t="str">
        <x:v>2020-11</x:v>
      </x:c>
      <x:c r="S11" s="30" t="str">
        <x:v>MONTH</x:v>
      </x:c>
      <x:c r="T11" s="30" t="str">
        <x:v>EVD-688726-0003</x:v>
      </x:c>
      <x:c r="U11" s="30" t="str">
        <x:v>WEEK11_PROSPECTUS_IDENTIFIED</x:v>
      </x:c>
      <x:c r="V11" s="30" t="str">
        <x:v>CONFIRMED</x:v>
      </x:c>
      <x:c r="W11" s="30" t="str">
        <x:v>WEEK8_SCHEMA_V1.0_DIRECT_REUSE_WITH_OBSERVATION_WINDOW_NOTE</x:v>
      </x:c>
      <x:c r="X11" s="30" t="str">
        <x:v>FINAL_APPROVED</x:v>
      </x:c>
    </x:row>
    <x:row r="12">
      <x:c r="A12" s="30" t="str">
        <x:v>PATH-688726-0008</x:v>
      </x:c>
      <x:c r="B12" s="30" t="str">
        <x:v>PATH-688726-0008-E01</x:v>
      </x:c>
      <x:c r="C12" s="30" t="n">
        <x:v>1</x:v>
      </x:c>
      <x:c r="D12" s="30" t="str">
        <x:v>688726</x:v>
      </x:c>
      <x:c r="E12" s="30" t="str">
        <x:v>STD-688726-066</x:v>
      </x:c>
      <x:c r="F12" s="30" t="str">
        <x:v>STD-688726-ISSUER</x:v>
      </x:c>
      <x:c r="G12" s="30" t="str">
        <x:v>CAPITAL_INCREASE</x:v>
      </x:c>
      <x:c r="H12" s="30" t="str">
        <x:v>CAPITAL_INCREASE</x:v>
      </x:c>
      <x:c r="I12" s="76" t="n">
        <x:v>0.003442649349591907</x:v>
      </x:c>
      <x:c r="J12" s="76" t="str">
        <x:v>DISCLOSED_COMPLETE</x:v>
      </x:c>
      <x:c r="K12" s="70" t="b">
        <x:v>1</x:v>
      </x:c>
      <x:c r="L12" s="30" t="str">
        <x:v>STD-688726-066</x:v>
      </x:c>
      <x:c r="M12" s="30" t="str">
        <x:v>EVT-688726-0003</x:v>
      </x:c>
      <x:c r="N12" s="30" t="str">
        <x:v>TRX-688726-0004</x:v>
      </x:c>
      <x:c r="O12" s="30" t="str">
        <x:v>CAPITAL_INCREASE_ENTRY</x:v>
      </x:c>
      <x:c r="P12" s="30" t="str">
        <x:v>ISSUER_LEVEL</x:v>
      </x:c>
      <x:c r="Q12" s="30" t="str">
        <x:v>DIRECT</x:v>
      </x:c>
      <x:c r="R12" s="30" t="str">
        <x:v>2020-11</x:v>
      </x:c>
      <x:c r="S12" s="30" t="str">
        <x:v>MONTH</x:v>
      </x:c>
      <x:c r="T12" s="30" t="str">
        <x:v>EVD-688726-0003</x:v>
      </x:c>
      <x:c r="U12" s="30" t="str">
        <x:v>WEEK11_PROSPECTUS_IDENTIFIED</x:v>
      </x:c>
      <x:c r="V12" s="30" t="str">
        <x:v>CONFIRMED</x:v>
      </x:c>
      <x:c r="W12" s="30" t="str">
        <x:v>WEEK8_SCHEMA_V1.0_DIRECT_REUSE_WITH_OBSERVATION_WINDOW_NOTE</x:v>
      </x:c>
      <x:c r="X12" s="30" t="str">
        <x:v>FINAL_APPROVED</x:v>
      </x:c>
    </x:row>
    <x:row r="13">
      <x:c r="A13" s="30" t="str">
        <x:v>PATH-688726-0009</x:v>
      </x:c>
      <x:c r="B13" s="30" t="str">
        <x:v>PATH-688726-0009-E01</x:v>
      </x:c>
      <x:c r="C13" s="30" t="n">
        <x:v>1</x:v>
      </x:c>
      <x:c r="D13" s="30" t="str">
        <x:v>688726</x:v>
      </x:c>
      <x:c r="E13" s="30" t="str">
        <x:v>STD-688726-063</x:v>
      </x:c>
      <x:c r="F13" s="30" t="str">
        <x:v>STD-688726-ISSUER</x:v>
      </x:c>
      <x:c r="G13" s="30" t="str">
        <x:v>CAPITAL_INCREASE</x:v>
      </x:c>
      <x:c r="H13" s="30" t="str">
        <x:v>CAPITAL_INCREASE</x:v>
      </x:c>
      <x:c r="I13" s="76" t="n">
        <x:v>0.007868826423681575</x:v>
      </x:c>
      <x:c r="J13" s="76" t="str">
        <x:v>DISCLOSED_COMPLETE</x:v>
      </x:c>
      <x:c r="K13" s="70" t="b">
        <x:v>1</x:v>
      </x:c>
      <x:c r="L13" s="30" t="str">
        <x:v>STD-688726-063</x:v>
      </x:c>
      <x:c r="M13" s="30" t="str">
        <x:v>EVT-688726-0003</x:v>
      </x:c>
      <x:c r="N13" s="30" t="str">
        <x:v>TRX-688726-0004</x:v>
      </x:c>
      <x:c r="O13" s="30" t="str">
        <x:v>CAPITAL_INCREASE_ENTRY</x:v>
      </x:c>
      <x:c r="P13" s="30" t="str">
        <x:v>ISSUER_LEVEL</x:v>
      </x:c>
      <x:c r="Q13" s="30" t="str">
        <x:v>DIRECT</x:v>
      </x:c>
      <x:c r="R13" s="30" t="str">
        <x:v>2020-11</x:v>
      </x:c>
      <x:c r="S13" s="30" t="str">
        <x:v>MONTH</x:v>
      </x:c>
      <x:c r="T13" s="30" t="str">
        <x:v>EVD-688726-0003</x:v>
      </x:c>
      <x:c r="U13" s="30" t="str">
        <x:v>WEEK11_PROSPECTUS_IDENTIFIED</x:v>
      </x:c>
      <x:c r="V13" s="30" t="str">
        <x:v>CONFIRMED</x:v>
      </x:c>
      <x:c r="W13" s="30" t="str">
        <x:v>WEEK8_SCHEMA_V1.0_DIRECT_REUSE_WITH_OBSERVATION_WINDOW_NOTE</x:v>
      </x:c>
      <x:c r="X13" s="30" t="str">
        <x:v>FINAL_APPROVED</x:v>
      </x:c>
    </x:row>
    <x:row r="14">
      <x:c r="A14" s="30" t="str">
        <x:v>PATH-688726-0010</x:v>
      </x:c>
      <x:c r="B14" s="30" t="str">
        <x:v>PATH-688726-0010-E01</x:v>
      </x:c>
      <x:c r="C14" s="30" t="n">
        <x:v>1</x:v>
      </x:c>
      <x:c r="D14" s="30" t="str">
        <x:v>688726</x:v>
      </x:c>
      <x:c r="E14" s="30" t="str">
        <x:v>STD-688726-064</x:v>
      </x:c>
      <x:c r="F14" s="30" t="str">
        <x:v>STD-688726-ISSUER</x:v>
      </x:c>
      <x:c r="G14" s="30" t="str">
        <x:v>CAPITAL_INCREASE</x:v>
      </x:c>
      <x:c r="H14" s="30" t="str">
        <x:v>CAPITAL_INCREASE</x:v>
      </x:c>
      <x:c r="I14" s="76" t="n">
        <x:v>0.0059016702034028045</x:v>
      </x:c>
      <x:c r="J14" s="76" t="str">
        <x:v>DISCLOSED_COMPLETE</x:v>
      </x:c>
      <x:c r="K14" s="70" t="b">
        <x:v>1</x:v>
      </x:c>
      <x:c r="L14" s="30" t="str">
        <x:v>STD-688726-064</x:v>
      </x:c>
      <x:c r="M14" s="30" t="str">
        <x:v>EVT-688726-0003</x:v>
      </x:c>
      <x:c r="N14" s="30" t="str">
        <x:v>TRX-688726-0004</x:v>
      </x:c>
      <x:c r="O14" s="30" t="str">
        <x:v>CAPITAL_INCREASE_ENTRY</x:v>
      </x:c>
      <x:c r="P14" s="30" t="str">
        <x:v>ISSUER_LEVEL</x:v>
      </x:c>
      <x:c r="Q14" s="30" t="str">
        <x:v>DIRECT</x:v>
      </x:c>
      <x:c r="R14" s="30" t="str">
        <x:v>2020-11</x:v>
      </x:c>
      <x:c r="S14" s="30" t="str">
        <x:v>MONTH</x:v>
      </x:c>
      <x:c r="T14" s="30" t="str">
        <x:v>EVD-688726-0003</x:v>
      </x:c>
      <x:c r="U14" s="30" t="str">
        <x:v>WEEK11_PROSPECTUS_IDENTIFIED</x:v>
      </x:c>
      <x:c r="V14" s="30" t="str">
        <x:v>CONFIRMED</x:v>
      </x:c>
      <x:c r="W14" s="30" t="str">
        <x:v>WEEK8_SCHEMA_V1.0_DIRECT_REUSE_WITH_OBSERVATION_WINDOW_NOTE</x:v>
      </x:c>
      <x:c r="X14" s="30" t="str">
        <x:v>FINAL_APPROVED</x:v>
      </x:c>
    </x:row>
    <x:row r="15">
      <x:c r="A15" s="30" t="str">
        <x:v>PATH-688726-0011</x:v>
      </x:c>
      <x:c r="B15" s="30" t="str">
        <x:v>PATH-688726-0011-E01</x:v>
      </x:c>
      <x:c r="C15" s="30" t="n">
        <x:v>1</x:v>
      </x:c>
      <x:c r="D15" s="30" t="str">
        <x:v>688726</x:v>
      </x:c>
      <x:c r="E15" s="30" t="str">
        <x:v>STD-688726-062</x:v>
      </x:c>
      <x:c r="F15" s="30" t="str">
        <x:v>STD-688726-ISSUER</x:v>
      </x:c>
      <x:c r="G15" s="30" t="str">
        <x:v>CAPITAL_INCREASE</x:v>
      </x:c>
      <x:c r="H15" s="30" t="str">
        <x:v>CAPITAL_INCREASE</x:v>
      </x:c>
      <x:c r="I15" s="76" t="n">
        <x:v>0.003442649349591907</x:v>
      </x:c>
      <x:c r="J15" s="76" t="str">
        <x:v>DISCLOSED_COMPLETE</x:v>
      </x:c>
      <x:c r="K15" s="70" t="b">
        <x:v>1</x:v>
      </x:c>
      <x:c r="L15" s="30" t="str">
        <x:v>STD-688726-062</x:v>
      </x:c>
      <x:c r="M15" s="30" t="str">
        <x:v>EVT-688726-0003</x:v>
      </x:c>
      <x:c r="N15" s="30" t="str">
        <x:v>TRX-688726-0004</x:v>
      </x:c>
      <x:c r="O15" s="30" t="str">
        <x:v>CAPITAL_INCREASE_ENTRY</x:v>
      </x:c>
      <x:c r="P15" s="30" t="str">
        <x:v>ISSUER_LEVEL</x:v>
      </x:c>
      <x:c r="Q15" s="30" t="str">
        <x:v>DIRECT</x:v>
      </x:c>
      <x:c r="R15" s="30" t="str">
        <x:v>2020-11</x:v>
      </x:c>
      <x:c r="S15" s="30" t="str">
        <x:v>MONTH</x:v>
      </x:c>
      <x:c r="T15" s="30" t="str">
        <x:v>EVD-688726-0003</x:v>
      </x:c>
      <x:c r="U15" s="30" t="str">
        <x:v>WEEK11_PROSPECTUS_IDENTIFIED</x:v>
      </x:c>
      <x:c r="V15" s="30" t="str">
        <x:v>CONFIRMED</x:v>
      </x:c>
      <x:c r="W15" s="30" t="str">
        <x:v>WEEK8_SCHEMA_V1.0_DIRECT_REUSE_WITH_OBSERVATION_WINDOW_NOTE</x:v>
      </x:c>
      <x:c r="X15" s="30" t="str">
        <x:v>FINAL_APPROVED</x:v>
      </x:c>
    </x:row>
    <x:row r="16">
      <x:c r="A16" s="30" t="str">
        <x:v>PATH-688726-0012</x:v>
      </x:c>
      <x:c r="B16" s="30" t="str">
        <x:v>PATH-688726-0012-E01</x:v>
      </x:c>
      <x:c r="C16" s="30" t="n">
        <x:v>1</x:v>
      </x:c>
      <x:c r="D16" s="30" t="str">
        <x:v>688726</x:v>
      </x:c>
      <x:c r="E16" s="30" t="str">
        <x:v>STD-688726-027</x:v>
      </x:c>
      <x:c r="F16" s="30" t="str">
        <x:v>STD-688726-ISSUER</x:v>
      </x:c>
      <x:c r="G16" s="30" t="str">
        <x:v>CAPITAL_INCREASE</x:v>
      </x:c>
      <x:c r="H16" s="30" t="str">
        <x:v>CAPITAL_INCREASE</x:v>
      </x:c>
      <x:c r="I16" s="76" t="n">
        <x:v>0.003442649349591907</x:v>
      </x:c>
      <x:c r="J16" s="76" t="str">
        <x:v>DISCLOSED_COMPLETE</x:v>
      </x:c>
      <x:c r="K16" s="70" t="b">
        <x:v>1</x:v>
      </x:c>
      <x:c r="L16" s="30" t="str">
        <x:v>STD-688726-027</x:v>
      </x:c>
      <x:c r="M16" s="30" t="str">
        <x:v>EVT-688726-0003</x:v>
      </x:c>
      <x:c r="N16" s="30" t="str">
        <x:v>TRX-688726-0004</x:v>
      </x:c>
      <x:c r="O16" s="30" t="str">
        <x:v>CAPITAL_INCREASE_ENTRY</x:v>
      </x:c>
      <x:c r="P16" s="30" t="str">
        <x:v>ISSUER_LEVEL</x:v>
      </x:c>
      <x:c r="Q16" s="30" t="str">
        <x:v>DIRECT</x:v>
      </x:c>
      <x:c r="R16" s="30" t="str">
        <x:v>2020-11</x:v>
      </x:c>
      <x:c r="S16" s="30" t="str">
        <x:v>MONTH</x:v>
      </x:c>
      <x:c r="T16" s="30" t="str">
        <x:v>EVD-688726-0003</x:v>
      </x:c>
      <x:c r="U16" s="30" t="str">
        <x:v>WEEK11_PROSPECTUS_IDENTIFIED</x:v>
      </x:c>
      <x:c r="V16" s="30" t="str">
        <x:v>CONFIRMED</x:v>
      </x:c>
      <x:c r="W16" s="30" t="str">
        <x:v>WEEK8_SCHEMA_V1.0_DIRECT_REUSE_WITH_OBSERVATION_WINDOW_NOTE</x:v>
      </x:c>
      <x:c r="X16" s="30" t="str">
        <x:v>FINAL_APPROVED</x:v>
      </x:c>
    </x:row>
    <x:row r="17">
      <x:c r="A17" s="30" t="str">
        <x:v>PATH-688726-0013</x:v>
      </x:c>
      <x:c r="B17" s="30" t="str">
        <x:v>PATH-688726-0013-E01</x:v>
      </x:c>
      <x:c r="C17" s="30" t="n">
        <x:v>1</x:v>
      </x:c>
      <x:c r="D17" s="30" t="str">
        <x:v>688726</x:v>
      </x:c>
      <x:c r="E17" s="30" t="str">
        <x:v>STD-688726-025</x:v>
      </x:c>
      <x:c r="F17" s="30" t="str">
        <x:v>STD-688726-ISSUER</x:v>
      </x:c>
      <x:c r="G17" s="30" t="str">
        <x:v>CAPITAL_INCREASE</x:v>
      </x:c>
      <x:c r="H17" s="30" t="str">
        <x:v>CAPITAL_INCREASE</x:v>
      </x:c>
      <x:c r="I17" s="76" t="n">
        <x:v>0.0019672569915620175</x:v>
      </x:c>
      <x:c r="J17" s="76" t="str">
        <x:v>DISCLOSED_COMPLETE</x:v>
      </x:c>
      <x:c r="K17" s="70" t="b">
        <x:v>1</x:v>
      </x:c>
      <x:c r="L17" s="30" t="str">
        <x:v>STD-688726-025</x:v>
      </x:c>
      <x:c r="M17" s="30" t="str">
        <x:v>EVT-688726-0003</x:v>
      </x:c>
      <x:c r="N17" s="30" t="str">
        <x:v>TRX-688726-0004</x:v>
      </x:c>
      <x:c r="O17" s="30" t="str">
        <x:v>CAPITAL_INCREASE_ENTRY</x:v>
      </x:c>
      <x:c r="P17" s="30" t="str">
        <x:v>ISSUER_LEVEL</x:v>
      </x:c>
      <x:c r="Q17" s="30" t="str">
        <x:v>DIRECT</x:v>
      </x:c>
      <x:c r="R17" s="30" t="str">
        <x:v>2020-11</x:v>
      </x:c>
      <x:c r="S17" s="30" t="str">
        <x:v>MONTH</x:v>
      </x:c>
      <x:c r="T17" s="30" t="str">
        <x:v>EVD-688726-0003</x:v>
      </x:c>
      <x:c r="U17" s="30" t="str">
        <x:v>WEEK11_PROSPECTUS_IDENTIFIED</x:v>
      </x:c>
      <x:c r="V17" s="30" t="str">
        <x:v>CONFIRMED</x:v>
      </x:c>
      <x:c r="W17" s="30" t="str">
        <x:v>WEEK8_SCHEMA_V1.0_DIRECT_REUSE_WITH_OBSERVATION_WINDOW_NOTE</x:v>
      </x:c>
      <x:c r="X17" s="30" t="str">
        <x:v>FINAL_APPROVED</x:v>
      </x:c>
    </x:row>
    <x:row r="18">
      <x:c r="A18" s="30" t="str">
        <x:v>PATH-688726-0014</x:v>
      </x:c>
      <x:c r="B18" s="30" t="str">
        <x:v>PATH-688726-0014-E01</x:v>
      </x:c>
      <x:c r="C18" s="30" t="n">
        <x:v>1</x:v>
      </x:c>
      <x:c r="D18" s="30" t="str">
        <x:v>688726</x:v>
      </x:c>
      <x:c r="E18" s="30" t="str">
        <x:v>STD-688726-031</x:v>
      </x:c>
      <x:c r="F18" s="30" t="str">
        <x:v>STD-688726-ISSUER</x:v>
      </x:c>
      <x:c r="G18" s="30" t="str">
        <x:v>CAPITAL_INCREASE</x:v>
      </x:c>
      <x:c r="H18" s="30" t="str">
        <x:v>CAPITAL_INCREASE</x:v>
      </x:c>
      <x:c r="I18" s="76" t="n">
        <x:v>0.0050163944800715714</x:v>
      </x:c>
      <x:c r="J18" s="76" t="str">
        <x:v>DISCLOSED_COMPLETE</x:v>
      </x:c>
      <x:c r="K18" s="70" t="b">
        <x:v>1</x:v>
      </x:c>
      <x:c r="L18" s="30" t="str">
        <x:v>STD-688726-031</x:v>
      </x:c>
      <x:c r="M18" s="30" t="str">
        <x:v>EVT-688726-0003</x:v>
      </x:c>
      <x:c r="N18" s="30" t="str">
        <x:v>TRX-688726-0004</x:v>
      </x:c>
      <x:c r="O18" s="30" t="str">
        <x:v>CAPITAL_INCREASE_ENTRY</x:v>
      </x:c>
      <x:c r="P18" s="30" t="str">
        <x:v>ISSUER_LEVEL</x:v>
      </x:c>
      <x:c r="Q18" s="30" t="str">
        <x:v>DIRECT</x:v>
      </x:c>
      <x:c r="R18" s="30" t="str">
        <x:v>2020-11</x:v>
      </x:c>
      <x:c r="S18" s="30" t="str">
        <x:v>MONTH</x:v>
      </x:c>
      <x:c r="T18" s="30" t="str">
        <x:v>EVD-688726-0003</x:v>
      </x:c>
      <x:c r="U18" s="30" t="str">
        <x:v>WEEK11_PROSPECTUS_IDENTIFIED</x:v>
      </x:c>
      <x:c r="V18" s="30" t="str">
        <x:v>CONFIRMED</x:v>
      </x:c>
      <x:c r="W18" s="30" t="str">
        <x:v>WEEK8_SCHEMA_V1.0_DIRECT_REUSE_WITH_OBSERVATION_WINDOW_NOTE</x:v>
      </x:c>
      <x:c r="X18" s="30" t="str">
        <x:v>FINAL_APPROVED</x:v>
      </x:c>
    </x:row>
    <x:row r="19">
      <x:c r="A19" s="30" t="str">
        <x:v>PATH-688726-0015</x:v>
      </x:c>
      <x:c r="B19" s="30" t="str">
        <x:v>PATH-688726-0015-E01</x:v>
      </x:c>
      <x:c r="C19" s="30" t="n">
        <x:v>1</x:v>
      </x:c>
      <x:c r="D19" s="30" t="str">
        <x:v>688726</x:v>
      </x:c>
      <x:c r="E19" s="30" t="str">
        <x:v>STD-688726-057</x:v>
      </x:c>
      <x:c r="F19" s="30" t="str">
        <x:v>STD-688726-ISSUER</x:v>
      </x:c>
      <x:c r="G19" s="30" t="str">
        <x:v>CAPITAL_INCREASE</x:v>
      </x:c>
      <x:c r="H19" s="30" t="str">
        <x:v>CAPITAL_INCREASE</x:v>
      </x:c>
      <x:c r="I19" s="76" t="n">
        <x:v>0.0590163997201783</x:v>
      </x:c>
      <x:c r="J19" s="76" t="str">
        <x:v>DISCLOSED_COMPLETE</x:v>
      </x:c>
      <x:c r="K19" s="70" t="b">
        <x:v>1</x:v>
      </x:c>
      <x:c r="L19" s="30" t="str">
        <x:v>STD-688726-057</x:v>
      </x:c>
      <x:c r="M19" s="30" t="str">
        <x:v>EVT-688726-0003</x:v>
      </x:c>
      <x:c r="N19" s="30" t="str">
        <x:v>TRX-688726-0004</x:v>
      </x:c>
      <x:c r="O19" s="30" t="str">
        <x:v>CAPITAL_INCREASE_ENTRY</x:v>
      </x:c>
      <x:c r="P19" s="30" t="str">
        <x:v>ISSUER_LEVEL</x:v>
      </x:c>
      <x:c r="Q19" s="30" t="str">
        <x:v>DIRECT</x:v>
      </x:c>
      <x:c r="R19" s="30" t="str">
        <x:v>2020-11</x:v>
      </x:c>
      <x:c r="S19" s="30" t="str">
        <x:v>MONTH</x:v>
      </x:c>
      <x:c r="T19" s="30" t="str">
        <x:v>EVD-688726-0003</x:v>
      </x:c>
      <x:c r="U19" s="30" t="str">
        <x:v>WEEK11_PROSPECTUS_IDENTIFIED</x:v>
      </x:c>
      <x:c r="V19" s="30" t="str">
        <x:v>CONFIRMED</x:v>
      </x:c>
      <x:c r="W19" s="30" t="str">
        <x:v>WEEK8_SCHEMA_V1.0_DIRECT_REUSE_WITH_OBSERVATION_WINDOW_NOTE</x:v>
      </x:c>
      <x:c r="X19" s="30" t="str">
        <x:v>FINAL_APPROVED</x:v>
      </x:c>
    </x:row>
    <x:row r="20">
      <x:c r="A20" s="30" t="str">
        <x:v>PATH-688726-0016</x:v>
      </x:c>
      <x:c r="B20" s="30" t="str">
        <x:v>PATH-688726-0016-E01</x:v>
      </x:c>
      <x:c r="C20" s="30" t="n">
        <x:v>1</x:v>
      </x:c>
      <x:c r="D20" s="30" t="str">
        <x:v>688726</x:v>
      </x:c>
      <x:c r="E20" s="30" t="str">
        <x:v>STD-688726-018</x:v>
      </x:c>
      <x:c r="F20" s="30" t="str">
        <x:v>STD-688726-ISSUER</x:v>
      </x:c>
      <x:c r="G20" s="30" t="str">
        <x:v>CAPITAL_INCREASE</x:v>
      </x:c>
      <x:c r="H20" s="30" t="str">
        <x:v>CAPITAL_INCREASE</x:v>
      </x:c>
      <x:c r="I20" s="76" t="n">
        <x:v>0.06557378866367403</x:v>
      </x:c>
      <x:c r="J20" s="76" t="str">
        <x:v>DISCLOSED_COMPLETE</x:v>
      </x:c>
      <x:c r="K20" s="70" t="b">
        <x:v>1</x:v>
      </x:c>
      <x:c r="L20" s="30" t="str">
        <x:v>STD-688726-018</x:v>
      </x:c>
      <x:c r="M20" s="30" t="str">
        <x:v>EVT-688726-0003</x:v>
      </x:c>
      <x:c r="N20" s="30" t="str">
        <x:v>TRX-688726-0004</x:v>
      </x:c>
      <x:c r="O20" s="30" t="str">
        <x:v>CAPITAL_INCREASE_ENTRY</x:v>
      </x:c>
      <x:c r="P20" s="30" t="str">
        <x:v>ISSUER_LEVEL</x:v>
      </x:c>
      <x:c r="Q20" s="30" t="str">
        <x:v>DIRECT</x:v>
      </x:c>
      <x:c r="R20" s="30" t="str">
        <x:v>2020-11</x:v>
      </x:c>
      <x:c r="S20" s="30" t="str">
        <x:v>MONTH</x:v>
      </x:c>
      <x:c r="T20" s="30" t="str">
        <x:v>EVD-688726-0003</x:v>
      </x:c>
      <x:c r="U20" s="30" t="str">
        <x:v>WEEK11_PROSPECTUS_IDENTIFIED</x:v>
      </x:c>
      <x:c r="V20" s="30" t="str">
        <x:v>CONFIRMED</x:v>
      </x:c>
      <x:c r="W20" s="30" t="str">
        <x:v>WEEK8_SCHEMA_V1.0_DIRECT_REUSE_WITH_OBSERVATION_WINDOW_NOTE</x:v>
      </x:c>
      <x:c r="X20" s="30" t="str">
        <x:v>FINAL_APPROVED</x:v>
      </x:c>
    </x:row>
    <x:row r="21">
      <x:c r="A21" s="30" t="str">
        <x:v>PATH-688726-0017</x:v>
      </x:c>
      <x:c r="B21" s="30" t="str">
        <x:v>PATH-688726-0017-E01</x:v>
      </x:c>
      <x:c r="C21" s="30" t="n">
        <x:v>1</x:v>
      </x:c>
      <x:c r="D21" s="30" t="str">
        <x:v>688726</x:v>
      </x:c>
      <x:c r="E21" s="30" t="str">
        <x:v>STD-688726-010</x:v>
      </x:c>
      <x:c r="F21" s="30" t="str">
        <x:v>STD-688726-ISSUER</x:v>
      </x:c>
      <x:c r="G21" s="30" t="str">
        <x:v>CAPITAL_INCREASE</x:v>
      </x:c>
      <x:c r="H21" s="30" t="str">
        <x:v>CAPITAL_INCREASE</x:v>
      </x:c>
      <x:c r="I21" s="76" t="n">
        <x:v>0.01088521324513562</x:v>
      </x:c>
      <x:c r="J21" s="76" t="str">
        <x:v>DISCLOSED_COMPLETE</x:v>
      </x:c>
      <x:c r="K21" s="70" t="b">
        <x:v>1</x:v>
      </x:c>
      <x:c r="L21" s="30" t="str">
        <x:v>STD-688726-010</x:v>
      </x:c>
      <x:c r="M21" s="30" t="str">
        <x:v>EVT-688726-0003</x:v>
      </x:c>
      <x:c r="N21" s="30" t="str">
        <x:v>TRX-688726-0004</x:v>
      </x:c>
      <x:c r="O21" s="30" t="str">
        <x:v>CAPITAL_INCREASE_ENTRY</x:v>
      </x:c>
      <x:c r="P21" s="30" t="str">
        <x:v>ISSUER_LEVEL</x:v>
      </x:c>
      <x:c r="Q21" s="30" t="str">
        <x:v>DIRECT</x:v>
      </x:c>
      <x:c r="R21" s="30" t="str">
        <x:v>2020-11</x:v>
      </x:c>
      <x:c r="S21" s="30" t="str">
        <x:v>MONTH</x:v>
      </x:c>
      <x:c r="T21" s="30" t="str">
        <x:v>EVD-688726-0003</x:v>
      </x:c>
      <x:c r="U21" s="30" t="str">
        <x:v>WEEK11_PROSPECTUS_IDENTIFIED</x:v>
      </x:c>
      <x:c r="V21" s="30" t="str">
        <x:v>CONFIRMED</x:v>
      </x:c>
      <x:c r="W21" s="30" t="str">
        <x:v>WEEK8_SCHEMA_V1.0_DIRECT_REUSE_WITH_OBSERVATION_WINDOW_NOTE</x:v>
      </x:c>
      <x:c r="X21" s="30" t="str">
        <x:v>FINAL_APPROVED</x:v>
      </x:c>
    </x:row>
    <x:row r="22">
      <x:c r="A22" s="30" t="str">
        <x:v>PATH-688726-0018</x:v>
      </x:c>
      <x:c r="B22" s="30" t="str">
        <x:v>PATH-688726-0018-E01</x:v>
      </x:c>
      <x:c r="C22" s="30" t="n">
        <x:v>1</x:v>
      </x:c>
      <x:c r="D22" s="30" t="str">
        <x:v>688726</x:v>
      </x:c>
      <x:c r="E22" s="30" t="str">
        <x:v>STD-688726-006</x:v>
      </x:c>
      <x:c r="F22" s="30" t="str">
        <x:v>STD-688726-ISSUER</x:v>
      </x:c>
      <x:c r="G22" s="30" t="str">
        <x:v>CAPITAL_INCREASE</x:v>
      </x:c>
      <x:c r="H22" s="30" t="str">
        <x:v>CAPITAL_INCREASE</x:v>
      </x:c>
      <x:c r="I22" s="76" t="n">
        <x:v>0.05002961617599164</x:v>
      </x:c>
      <x:c r="J22" s="76" t="str">
        <x:v>DISCLOSED_COMPLETE</x:v>
      </x:c>
      <x:c r="K22" s="70" t="b">
        <x:v>1</x:v>
      </x:c>
      <x:c r="L22" s="30" t="str">
        <x:v>STD-688726-006</x:v>
      </x:c>
      <x:c r="M22" s="30" t="str">
        <x:v>EVT-688726-0004</x:v>
      </x:c>
      <x:c r="N22" s="30" t="str">
        <x:v>TRX-688726-0005</x:v>
      </x:c>
      <x:c r="O22" s="30" t="str">
        <x:v>CAPITAL_INCREASE_ENTRY</x:v>
      </x:c>
      <x:c r="P22" s="30" t="str">
        <x:v>ISSUER_LEVEL</x:v>
      </x:c>
      <x:c r="Q22" s="30" t="str">
        <x:v>DIRECT</x:v>
      </x:c>
      <x:c r="R22" s="30" t="str">
        <x:v>2020-12</x:v>
      </x:c>
      <x:c r="S22" s="30" t="str">
        <x:v>MONTH</x:v>
      </x:c>
      <x:c r="T22" s="30" t="str">
        <x:v>EVD-688726-0004</x:v>
      </x:c>
      <x:c r="U22" s="30" t="str">
        <x:v>WEEK11_PROSPECTUS_IDENTIFIED</x:v>
      </x:c>
      <x:c r="V22" s="30" t="str">
        <x:v>CONFIRMED</x:v>
      </x:c>
      <x:c r="W22" s="30" t="str">
        <x:v>WEEK8_SCHEMA_V1.0_DIRECT_REUSE_WITH_OBSERVATION_WINDOW_NOTE</x:v>
      </x:c>
      <x:c r="X22" s="30" t="str">
        <x:v>FINAL_APPROVED</x:v>
      </x:c>
    </x:row>
    <x:row r="23">
      <x:c r="A23" s="30" t="str">
        <x:v>PATH-688726-0019</x:v>
      </x:c>
      <x:c r="B23" s="30" t="str">
        <x:v>PATH-688726-0019-E01</x:v>
      </x:c>
      <x:c r="C23" s="30" t="n">
        <x:v>1</x:v>
      </x:c>
      <x:c r="D23" s="30" t="str">
        <x:v>688726</x:v>
      </x:c>
      <x:c r="E23" s="30" t="str">
        <x:v>STD-688726-055</x:v>
      </x:c>
      <x:c r="F23" s="30" t="str">
        <x:v>STD-688726-ISSUER</x:v>
      </x:c>
      <x:c r="G23" s="30" t="str">
        <x:v>CAPITAL_INCREASE</x:v>
      </x:c>
      <x:c r="H23" s="30" t="str">
        <x:v>CAPITAL_INCREASE</x:v>
      </x:c>
      <x:c r="I23" s="76" t="n">
        <x:v>0.024985151099634874</x:v>
      </x:c>
      <x:c r="J23" s="76" t="str">
        <x:v>DISCLOSED_COMPLETE</x:v>
      </x:c>
      <x:c r="K23" s="70" t="b">
        <x:v>1</x:v>
      </x:c>
      <x:c r="L23" s="30" t="str">
        <x:v>STD-688726-055</x:v>
      </x:c>
      <x:c r="M23" s="30" t="str">
        <x:v>EVT-688726-0004</x:v>
      </x:c>
      <x:c r="N23" s="30" t="str">
        <x:v>TRX-688726-0005</x:v>
      </x:c>
      <x:c r="O23" s="30" t="str">
        <x:v>CAPITAL_INCREASE_ENTRY</x:v>
      </x:c>
      <x:c r="P23" s="30" t="str">
        <x:v>ISSUER_LEVEL</x:v>
      </x:c>
      <x:c r="Q23" s="30" t="str">
        <x:v>DIRECT</x:v>
      </x:c>
      <x:c r="R23" s="30" t="str">
        <x:v>2020-12</x:v>
      </x:c>
      <x:c r="S23" s="30" t="str">
        <x:v>MONTH</x:v>
      </x:c>
      <x:c r="T23" s="30" t="str">
        <x:v>EVD-688726-0004</x:v>
      </x:c>
      <x:c r="U23" s="30" t="str">
        <x:v>WEEK11_PROSPECTUS_IDENTIFIED</x:v>
      </x:c>
      <x:c r="V23" s="30" t="str">
        <x:v>CONFIRMED</x:v>
      </x:c>
      <x:c r="W23" s="30" t="str">
        <x:v>WEEK8_SCHEMA_V1.0_DIRECT_REUSE_WITH_OBSERVATION_WINDOW_NOTE</x:v>
      </x:c>
      <x:c r="X23" s="30" t="str">
        <x:v>FINAL_APPROVED</x:v>
      </x:c>
    </x:row>
    <x:row r="24">
      <x:c r="A24" s="30" t="str">
        <x:v>PATH-688726-0020</x:v>
      </x:c>
      <x:c r="B24" s="30" t="str">
        <x:v>PATH-688726-0020-E01</x:v>
      </x:c>
      <x:c r="C24" s="30" t="n">
        <x:v>1</x:v>
      </x:c>
      <x:c r="D24" s="30" t="str">
        <x:v>688726</x:v>
      </x:c>
      <x:c r="E24" s="30" t="str">
        <x:v>STD-688726-058</x:v>
      </x:c>
      <x:c r="F24" s="30" t="str">
        <x:v>STD-688726-ISSUER</x:v>
      </x:c>
      <x:c r="G24" s="30" t="str">
        <x:v>CAPITAL_INCREASE</x:v>
      </x:c>
      <x:c r="H24" s="30" t="str">
        <x:v>CAPITAL_INCREASE</x:v>
      </x:c>
      <x:c r="I24" s="76" t="n">
        <x:v>0.024985241793788884</x:v>
      </x:c>
      <x:c r="J24" s="76" t="str">
        <x:v>DISCLOSED_COMPLETE</x:v>
      </x:c>
      <x:c r="K24" s="70" t="b">
        <x:v>1</x:v>
      </x:c>
      <x:c r="L24" s="30" t="str">
        <x:v>STD-688726-058</x:v>
      </x:c>
      <x:c r="M24" s="30" t="str">
        <x:v>EVT-688726-0004</x:v>
      </x:c>
      <x:c r="N24" s="30" t="str">
        <x:v>TRX-688726-0005</x:v>
      </x:c>
      <x:c r="O24" s="30" t="str">
        <x:v>CAPITAL_INCREASE_ENTRY</x:v>
      </x:c>
      <x:c r="P24" s="30" t="str">
        <x:v>ISSUER_LEVEL</x:v>
      </x:c>
      <x:c r="Q24" s="30" t="str">
        <x:v>DIRECT</x:v>
      </x:c>
      <x:c r="R24" s="30" t="str">
        <x:v>2020-12</x:v>
      </x:c>
      <x:c r="S24" s="30" t="str">
        <x:v>MONTH</x:v>
      </x:c>
      <x:c r="T24" s="30" t="str">
        <x:v>EVD-688726-0004</x:v>
      </x:c>
      <x:c r="U24" s="30" t="str">
        <x:v>WEEK11_PROSPECTUS_IDENTIFIED</x:v>
      </x:c>
      <x:c r="V24" s="30" t="str">
        <x:v>CONFIRMED</x:v>
      </x:c>
      <x:c r="W24" s="30" t="str">
        <x:v>WEEK8_SCHEMA_V1.0_DIRECT_REUSE_WITH_OBSERVATION_WINDOW_NOTE</x:v>
      </x:c>
      <x:c r="X24" s="30" t="str">
        <x:v>FINAL_APPROVED</x:v>
      </x:c>
    </x:row>
    <x:row r="25">
      <x:c r="A25" s="30" t="str">
        <x:v>PATH-688726-0021</x:v>
      </x:c>
      <x:c r="B25" s="30" t="str">
        <x:v>PATH-688726-0021-E01</x:v>
      </x:c>
      <x:c r="C25" s="30" t="n">
        <x:v>1</x:v>
      </x:c>
      <x:c r="D25" s="30" t="str">
        <x:v>688726</x:v>
      </x:c>
      <x:c r="E25" s="30" t="str">
        <x:v>STD-688726-040</x:v>
      </x:c>
      <x:c r="F25" s="30" t="str">
        <x:v>STD-688726-ISSUER</x:v>
      </x:c>
      <x:c r="G25" s="30" t="str">
        <x:v>CAPITAL_INCREASE</x:v>
      </x:c>
      <x:c r="H25" s="30" t="str">
        <x:v>CAPITAL_INCREASE</x:v>
      </x:c>
      <x:c r="I25" s="76" t="n">
        <x:v>0.023474198194185145</x:v>
      </x:c>
      <x:c r="J25" s="76" t="str">
        <x:v>DISCLOSED_COMPLETE</x:v>
      </x:c>
      <x:c r="K25" s="70" t="b">
        <x:v>1</x:v>
      </x:c>
      <x:c r="L25" s="30" t="str">
        <x:v>STD-688726-040</x:v>
      </x:c>
      <x:c r="M25" s="30" t="str">
        <x:v>EVT-688726-0006</x:v>
      </x:c>
      <x:c r="N25" s="30" t="str">
        <x:v>TRX-688726-0012</x:v>
      </x:c>
      <x:c r="O25" s="30" t="str">
        <x:v>CAPITAL_INCREASE_ENTRY</x:v>
      </x:c>
      <x:c r="P25" s="30" t="str">
        <x:v>ISSUER_LEVEL</x:v>
      </x:c>
      <x:c r="Q25" s="30" t="str">
        <x:v>DIRECT</x:v>
      </x:c>
      <x:c r="R25" s="30" t="str">
        <x:v>2021-09</x:v>
      </x:c>
      <x:c r="S25" s="30" t="str">
        <x:v>MONTH</x:v>
      </x:c>
      <x:c r="T25" s="30" t="str">
        <x:v>EVD-688726-0006</x:v>
      </x:c>
      <x:c r="U25" s="30" t="str">
        <x:v>WEEK11_PROSPECTUS_IDENTIFIED</x:v>
      </x:c>
      <x:c r="V25" s="30" t="str">
        <x:v>CONFIRMED</x:v>
      </x:c>
      <x:c r="W25" s="30" t="str">
        <x:v>WEEK8_SCHEMA_V1.0_DIRECT_REUSE_WITH_OBSERVATION_WINDOW_NOTE</x:v>
      </x:c>
      <x:c r="X25" s="30" t="str">
        <x:v>FINAL_APPROVED</x:v>
      </x:c>
    </x:row>
    <x:row r="26">
      <x:c r="A26" s="30" t="str">
        <x:v>PATH-688726-0022</x:v>
      </x:c>
      <x:c r="B26" s="30" t="str">
        <x:v>PATH-688726-0022-E01</x:v>
      </x:c>
      <x:c r="C26" s="30" t="n">
        <x:v>1</x:v>
      </x:c>
      <x:c r="D26" s="30" t="str">
        <x:v>688726</x:v>
      </x:c>
      <x:c r="E26" s="30" t="str">
        <x:v>STD-688726-045</x:v>
      </x:c>
      <x:c r="F26" s="30" t="str">
        <x:v>STD-688726-ISSUER</x:v>
      </x:c>
      <x:c r="G26" s="30" t="str">
        <x:v>CAPITAL_INCREASE</x:v>
      </x:c>
      <x:c r="H26" s="30" t="str">
        <x:v>CAPITAL_INCREASE</x:v>
      </x:c>
      <x:c r="I26" s="76" t="n">
        <x:v>0.023474198194185145</x:v>
      </x:c>
      <x:c r="J26" s="76" t="str">
        <x:v>DISCLOSED_COMPLETE</x:v>
      </x:c>
      <x:c r="K26" s="70" t="b">
        <x:v>1</x:v>
      </x:c>
      <x:c r="L26" s="30" t="str">
        <x:v>STD-688726-045</x:v>
      </x:c>
      <x:c r="M26" s="30" t="str">
        <x:v>EVT-688726-0006</x:v>
      </x:c>
      <x:c r="N26" s="30" t="str">
        <x:v>TRX-688726-0012</x:v>
      </x:c>
      <x:c r="O26" s="30" t="str">
        <x:v>CAPITAL_INCREASE_ENTRY</x:v>
      </x:c>
      <x:c r="P26" s="30" t="str">
        <x:v>ISSUER_LEVEL</x:v>
      </x:c>
      <x:c r="Q26" s="30" t="str">
        <x:v>DIRECT</x:v>
      </x:c>
      <x:c r="R26" s="30" t="str">
        <x:v>2021-09</x:v>
      </x:c>
      <x:c r="S26" s="30" t="str">
        <x:v>MONTH</x:v>
      </x:c>
      <x:c r="T26" s="30" t="str">
        <x:v>EVD-688726-0006</x:v>
      </x:c>
      <x:c r="U26" s="30" t="str">
        <x:v>WEEK11_PROSPECTUS_IDENTIFIED</x:v>
      </x:c>
      <x:c r="V26" s="30" t="str">
        <x:v>CONFIRMED</x:v>
      </x:c>
      <x:c r="W26" s="30" t="str">
        <x:v>WEEK8_SCHEMA_V1.0_DIRECT_REUSE_WITH_OBSERVATION_WINDOW_NOTE</x:v>
      </x:c>
      <x:c r="X26" s="30" t="str">
        <x:v>FINAL_APPROVED</x:v>
      </x:c>
    </x:row>
    <x:row r="27">
      <x:c r="A27" s="30" t="str">
        <x:v>PATH-688726-0023</x:v>
      </x:c>
      <x:c r="B27" s="30" t="str">
        <x:v>PATH-688726-0023-E01</x:v>
      </x:c>
      <x:c r="C27" s="30" t="n">
        <x:v>1</x:v>
      </x:c>
      <x:c r="D27" s="30" t="str">
        <x:v>688726</x:v>
      </x:c>
      <x:c r="E27" s="30" t="str">
        <x:v>STD-688726-008</x:v>
      </x:c>
      <x:c r="F27" s="30" t="str">
        <x:v>STD-688726-ISSUER</x:v>
      </x:c>
      <x:c r="G27" s="30" t="str">
        <x:v>CAPITAL_INCREASE</x:v>
      </x:c>
      <x:c r="H27" s="30" t="str">
        <x:v>CAPITAL_INCREASE</x:v>
      </x:c>
      <x:c r="I27" s="76" t="n">
        <x:v>0.023474198194185145</x:v>
      </x:c>
      <x:c r="J27" s="76" t="str">
        <x:v>DISCLOSED_COMPLETE</x:v>
      </x:c>
      <x:c r="K27" s="70" t="b">
        <x:v>1</x:v>
      </x:c>
      <x:c r="L27" s="30" t="str">
        <x:v>STD-688726-008</x:v>
      </x:c>
      <x:c r="M27" s="30" t="str">
        <x:v>EVT-688726-0006</x:v>
      </x:c>
      <x:c r="N27" s="30" t="str">
        <x:v>TRX-688726-0012</x:v>
      </x:c>
      <x:c r="O27" s="30" t="str">
        <x:v>CAPITAL_INCREASE_ENTRY</x:v>
      </x:c>
      <x:c r="P27" s="30" t="str">
        <x:v>ISSUER_LEVEL</x:v>
      </x:c>
      <x:c r="Q27" s="30" t="str">
        <x:v>DIRECT</x:v>
      </x:c>
      <x:c r="R27" s="30" t="str">
        <x:v>2021-09</x:v>
      </x:c>
      <x:c r="S27" s="30" t="str">
        <x:v>MONTH</x:v>
      </x:c>
      <x:c r="T27" s="30" t="str">
        <x:v>EVD-688726-0006</x:v>
      </x:c>
      <x:c r="U27" s="30" t="str">
        <x:v>WEEK11_PROSPECTUS_IDENTIFIED</x:v>
      </x:c>
      <x:c r="V27" s="30" t="str">
        <x:v>CONFIRMED</x:v>
      </x:c>
      <x:c r="W27" s="30" t="str">
        <x:v>WEEK8_SCHEMA_V1.0_DIRECT_REUSE_WITH_OBSERVATION_WINDOW_NOTE</x:v>
      </x:c>
      <x:c r="X27" s="30" t="str">
        <x:v>FINAL_APPROVED</x:v>
      </x:c>
    </x:row>
    <x:row r="28">
      <x:c r="A28" s="30" t="str">
        <x:v>PATH-688726-0024</x:v>
      </x:c>
      <x:c r="B28" s="30" t="str">
        <x:v>PATH-688726-0024-E01</x:v>
      </x:c>
      <x:c r="C28" s="30" t="n">
        <x:v>1</x:v>
      </x:c>
      <x:c r="D28" s="30" t="str">
        <x:v>688726</x:v>
      </x:c>
      <x:c r="E28" s="30" t="str">
        <x:v>STD-688726-050</x:v>
      </x:c>
      <x:c r="F28" s="30" t="str">
        <x:v>STD-688726-ISSUER</x:v>
      </x:c>
      <x:c r="G28" s="30" t="str">
        <x:v>CAPITAL_INCREASE</x:v>
      </x:c>
      <x:c r="H28" s="30" t="str">
        <x:v>CAPITAL_INCREASE</x:v>
      </x:c>
      <x:c r="I28" s="76" t="n">
        <x:v>0.01914555849975133</x:v>
      </x:c>
      <x:c r="J28" s="76" t="str">
        <x:v>DISCLOSED_COMPLETE</x:v>
      </x:c>
      <x:c r="K28" s="70" t="b">
        <x:v>1</x:v>
      </x:c>
      <x:c r="L28" s="30" t="str">
        <x:v>STD-688726-050</x:v>
      </x:c>
      <x:c r="M28" s="30" t="str">
        <x:v>EVT-688726-0006</x:v>
      </x:c>
      <x:c r="N28" s="30" t="str">
        <x:v>TRX-688726-0012</x:v>
      </x:c>
      <x:c r="O28" s="30" t="str">
        <x:v>CAPITAL_INCREASE_ENTRY</x:v>
      </x:c>
      <x:c r="P28" s="30" t="str">
        <x:v>ISSUER_LEVEL</x:v>
      </x:c>
      <x:c r="Q28" s="30" t="str">
        <x:v>DIRECT</x:v>
      </x:c>
      <x:c r="R28" s="30" t="str">
        <x:v>2021-09</x:v>
      </x:c>
      <x:c r="S28" s="30" t="str">
        <x:v>MONTH</x:v>
      </x:c>
      <x:c r="T28" s="30" t="str">
        <x:v>EVD-688726-0006</x:v>
      </x:c>
      <x:c r="U28" s="30" t="str">
        <x:v>WEEK11_PROSPECTUS_IDENTIFIED</x:v>
      </x:c>
      <x:c r="V28" s="30" t="str">
        <x:v>CONFIRMED</x:v>
      </x:c>
      <x:c r="W28" s="30" t="str">
        <x:v>WEEK8_SCHEMA_V1.0_DIRECT_REUSE_WITH_OBSERVATION_WINDOW_NOTE</x:v>
      </x:c>
      <x:c r="X28" s="30" t="str">
        <x:v>FINAL_APPROVED</x:v>
      </x:c>
    </x:row>
    <x:row r="29">
      <x:c r="A29" s="30" t="str">
        <x:v>PATH-688726-0025</x:v>
      </x:c>
      <x:c r="B29" s="30" t="str">
        <x:v>PATH-688726-0025-E01</x:v>
      </x:c>
      <x:c r="C29" s="30" t="n">
        <x:v>1</x:v>
      </x:c>
      <x:c r="D29" s="30" t="str">
        <x:v>688726</x:v>
      </x:c>
      <x:c r="E29" s="30" t="str">
        <x:v>STD-688726-061</x:v>
      </x:c>
      <x:c r="F29" s="30" t="str">
        <x:v>STD-688726-ISSUER</x:v>
      </x:c>
      <x:c r="G29" s="30" t="str">
        <x:v>CAPITAL_INCREASE</x:v>
      </x:c>
      <x:c r="H29" s="30" t="str">
        <x:v>CAPITAL_INCREASE</x:v>
      </x:c>
      <x:c r="I29" s="76" t="n">
        <x:v>0.028169037833022173</x:v>
      </x:c>
      <x:c r="J29" s="76" t="str">
        <x:v>DISCLOSED_COMPLETE</x:v>
      </x:c>
      <x:c r="K29" s="70" t="b">
        <x:v>1</x:v>
      </x:c>
      <x:c r="L29" s="30" t="str">
        <x:v>STD-688726-061</x:v>
      </x:c>
      <x:c r="M29" s="30" t="str">
        <x:v>EVT-688726-0006</x:v>
      </x:c>
      <x:c r="N29" s="30" t="str">
        <x:v>TRX-688726-0012</x:v>
      </x:c>
      <x:c r="O29" s="30" t="str">
        <x:v>CAPITAL_INCREASE_ENTRY</x:v>
      </x:c>
      <x:c r="P29" s="30" t="str">
        <x:v>ISSUER_LEVEL</x:v>
      </x:c>
      <x:c r="Q29" s="30" t="str">
        <x:v>DIRECT</x:v>
      </x:c>
      <x:c r="R29" s="30" t="str">
        <x:v>2021-09</x:v>
      </x:c>
      <x:c r="S29" s="30" t="str">
        <x:v>MONTH</x:v>
      </x:c>
      <x:c r="T29" s="30" t="str">
        <x:v>EVD-688726-0006</x:v>
      </x:c>
      <x:c r="U29" s="30" t="str">
        <x:v>WEEK11_PROSPECTUS_IDENTIFIED</x:v>
      </x:c>
      <x:c r="V29" s="30" t="str">
        <x:v>CONFIRMED</x:v>
      </x:c>
      <x:c r="W29" s="30" t="str">
        <x:v>WEEK8_SCHEMA_V1.0_DIRECT_REUSE_WITH_OBSERVATION_WINDOW_NOTE</x:v>
      </x:c>
      <x:c r="X29" s="30" t="str">
        <x:v>FINAL_APPROVED</x:v>
      </x:c>
    </x:row>
    <x:row r="30">
      <x:c r="A30" s="30" t="str">
        <x:v>PATH-688726-0026</x:v>
      </x:c>
      <x:c r="B30" s="30" t="str">
        <x:v>PATH-688726-0026-E01</x:v>
      </x:c>
      <x:c r="C30" s="30" t="n">
        <x:v>1</x:v>
      </x:c>
      <x:c r="D30" s="30" t="str">
        <x:v>688726</x:v>
      </x:c>
      <x:c r="E30" s="30" t="str">
        <x:v>STD-688726-016</x:v>
      </x:c>
      <x:c r="F30" s="30" t="str">
        <x:v>STD-688726-ISSUER</x:v>
      </x:c>
      <x:c r="G30" s="30" t="str">
        <x:v>CAPITAL_INCREASE</x:v>
      </x:c>
      <x:c r="H30" s="30" t="str">
        <x:v>CAPITAL_INCREASE</x:v>
      </x:c>
      <x:c r="I30" s="76" t="n">
        <x:v>0.0010422672758349347</x:v>
      </x:c>
      <x:c r="J30" s="76" t="str">
        <x:v>DISCLOSED_COMPLETE</x:v>
      </x:c>
      <x:c r="K30" s="70" t="b">
        <x:v>1</x:v>
      </x:c>
      <x:c r="L30" s="30" t="str">
        <x:v>STD-688726-016</x:v>
      </x:c>
      <x:c r="M30" s="30" t="str">
        <x:v>EVT-688726-0006</x:v>
      </x:c>
      <x:c r="N30" s="30" t="str">
        <x:v>TRX-688726-0012</x:v>
      </x:c>
      <x:c r="O30" s="30" t="str">
        <x:v>CAPITAL_INCREASE_ENTRY</x:v>
      </x:c>
      <x:c r="P30" s="30" t="str">
        <x:v>ISSUER_LEVEL</x:v>
      </x:c>
      <x:c r="Q30" s="30" t="str">
        <x:v>DIRECT</x:v>
      </x:c>
      <x:c r="R30" s="30" t="str">
        <x:v>2021-09</x:v>
      </x:c>
      <x:c r="S30" s="30" t="str">
        <x:v>MONTH</x:v>
      </x:c>
      <x:c r="T30" s="30" t="str">
        <x:v>EVD-688726-0006</x:v>
      </x:c>
      <x:c r="U30" s="30" t="str">
        <x:v>WEEK11_PROSPECTUS_IDENTIFIED</x:v>
      </x:c>
      <x:c r="V30" s="30" t="str">
        <x:v>CONFIRMED</x:v>
      </x:c>
      <x:c r="W30" s="30" t="str">
        <x:v>WEEK8_SCHEMA_V1.0_DIRECT_REUSE_WITH_OBSERVATION_WINDOW_NOTE</x:v>
      </x:c>
      <x:c r="X30" s="30" t="str">
        <x:v>FINAL_APPROVED</x:v>
      </x:c>
    </x:row>
    <x:row r="31">
      <x:c r="A31" s="30" t="str">
        <x:v>PATH-688726-0027</x:v>
      </x:c>
      <x:c r="B31" s="30" t="str">
        <x:v>PATH-688726-0027-E01</x:v>
      </x:c>
      <x:c r="C31" s="30" t="n">
        <x:v>1</x:v>
      </x:c>
      <x:c r="D31" s="30" t="str">
        <x:v>688726</x:v>
      </x:c>
      <x:c r="E31" s="30" t="str">
        <x:v>STD-688726-074</x:v>
      </x:c>
      <x:c r="F31" s="30" t="str">
        <x:v>STD-688726-ISSUER</x:v>
      </x:c>
      <x:c r="G31" s="30" t="str">
        <x:v>CAPITAL_INCREASE</x:v>
      </x:c>
      <x:c r="H31" s="30" t="str">
        <x:v>CAPITAL_INCREASE</x:v>
      </x:c>
      <x:c r="I31" s="76" t="n">
        <x:v>0.009389679277674059</x:v>
      </x:c>
      <x:c r="J31" s="76" t="str">
        <x:v>DISCLOSED_COMPLETE</x:v>
      </x:c>
      <x:c r="K31" s="70" t="b">
        <x:v>1</x:v>
      </x:c>
      <x:c r="L31" s="30" t="str">
        <x:v>STD-688726-074</x:v>
      </x:c>
      <x:c r="M31" s="30" t="str">
        <x:v>EVT-688726-0006</x:v>
      </x:c>
      <x:c r="N31" s="30" t="str">
        <x:v>TRX-688726-0012</x:v>
      </x:c>
      <x:c r="O31" s="30" t="str">
        <x:v>CAPITAL_INCREASE_ENTRY</x:v>
      </x:c>
      <x:c r="P31" s="30" t="str">
        <x:v>ISSUER_LEVEL</x:v>
      </x:c>
      <x:c r="Q31" s="30" t="str">
        <x:v>DIRECT</x:v>
      </x:c>
      <x:c r="R31" s="30" t="str">
        <x:v>2021-09</x:v>
      </x:c>
      <x:c r="S31" s="30" t="str">
        <x:v>MONTH</x:v>
      </x:c>
      <x:c r="T31" s="30" t="str">
        <x:v>EVD-688726-0006</x:v>
      </x:c>
      <x:c r="U31" s="30" t="str">
        <x:v>WEEK11_PROSPECTUS_IDENTIFIED</x:v>
      </x:c>
      <x:c r="V31" s="30" t="str">
        <x:v>CONFIRMED</x:v>
      </x:c>
      <x:c r="W31" s="30" t="str">
        <x:v>WEEK8_SCHEMA_V1.0_DIRECT_REUSE_WITH_OBSERVATION_WINDOW_NOTE</x:v>
      </x:c>
      <x:c r="X31" s="30" t="str">
        <x:v>FINAL_APPROVED</x:v>
      </x:c>
    </x:row>
    <x:row r="32">
      <x:c r="A32" s="30" t="str">
        <x:v>PATH-688726-0028</x:v>
      </x:c>
      <x:c r="B32" s="30" t="str">
        <x:v>PATH-688726-0028-E01</x:v>
      </x:c>
      <x:c r="C32" s="30" t="n">
        <x:v>1</x:v>
      </x:c>
      <x:c r="D32" s="30" t="str">
        <x:v>688726</x:v>
      </x:c>
      <x:c r="E32" s="30" t="str">
        <x:v>STD-688726-075</x:v>
      </x:c>
      <x:c r="F32" s="30" t="str">
        <x:v>STD-688726-ISSUER</x:v>
      </x:c>
      <x:c r="G32" s="30" t="str">
        <x:v>CAPITAL_INCREASE</x:v>
      </x:c>
      <x:c r="H32" s="30" t="str">
        <x:v>CAPITAL_INCREASE</x:v>
      </x:c>
      <x:c r="I32" s="76" t="n">
        <x:v>0.011267584476034789</x:v>
      </x:c>
      <x:c r="J32" s="76" t="str">
        <x:v>DISCLOSED_COMPLETE</x:v>
      </x:c>
      <x:c r="K32" s="70" t="b">
        <x:v>1</x:v>
      </x:c>
      <x:c r="L32" s="30" t="str">
        <x:v>STD-688726-075</x:v>
      </x:c>
      <x:c r="M32" s="30" t="str">
        <x:v>EVT-688726-0006</x:v>
      </x:c>
      <x:c r="N32" s="30" t="str">
        <x:v>TRX-688726-0012</x:v>
      </x:c>
      <x:c r="O32" s="30" t="str">
        <x:v>CAPITAL_INCREASE_ENTRY</x:v>
      </x:c>
      <x:c r="P32" s="30" t="str">
        <x:v>ISSUER_LEVEL</x:v>
      </x:c>
      <x:c r="Q32" s="30" t="str">
        <x:v>DIRECT</x:v>
      </x:c>
      <x:c r="R32" s="30" t="str">
        <x:v>2021-09</x:v>
      </x:c>
      <x:c r="S32" s="30" t="str">
        <x:v>MONTH</x:v>
      </x:c>
      <x:c r="T32" s="30" t="str">
        <x:v>EVD-688726-0006</x:v>
      </x:c>
      <x:c r="U32" s="30" t="str">
        <x:v>WEEK11_PROSPECTUS_IDENTIFIED</x:v>
      </x:c>
      <x:c r="V32" s="30" t="str">
        <x:v>CONFIRMED</x:v>
      </x:c>
      <x:c r="W32" s="30" t="str">
        <x:v>WEEK8_SCHEMA_V1.0_DIRECT_REUSE_WITH_OBSERVATION_WINDOW_NOTE</x:v>
      </x:c>
      <x:c r="X32" s="30" t="str">
        <x:v>FINAL_APPROVED</x:v>
      </x:c>
    </x:row>
    <x:row r="33">
      <x:c r="A33" s="30" t="str">
        <x:v>PATH-688726-0029</x:v>
      </x:c>
      <x:c r="B33" s="30" t="str">
        <x:v>PATH-688726-0029-E01</x:v>
      </x:c>
      <x:c r="C33" s="30" t="n">
        <x:v>1</x:v>
      </x:c>
      <x:c r="D33" s="30" t="str">
        <x:v>688726</x:v>
      </x:c>
      <x:c r="E33" s="30" t="str">
        <x:v>STD-688726-033</x:v>
      </x:c>
      <x:c r="F33" s="30" t="str">
        <x:v>STD-688726-ISSUER</x:v>
      </x:c>
      <x:c r="G33" s="30" t="str">
        <x:v>CAPITAL_INCREASE</x:v>
      </x:c>
      <x:c r="H33" s="30" t="str">
        <x:v>CAPITAL_INCREASE</x:v>
      </x:c>
      <x:c r="I33" s="76" t="n">
        <x:v>0.0028169344404762988</x:v>
      </x:c>
      <x:c r="J33" s="76" t="str">
        <x:v>DISCLOSED_COMPLETE</x:v>
      </x:c>
      <x:c r="K33" s="70" t="b">
        <x:v>1</x:v>
      </x:c>
      <x:c r="L33" s="30" t="str">
        <x:v>STD-688726-033</x:v>
      </x:c>
      <x:c r="M33" s="30" t="str">
        <x:v>EVT-688726-0006</x:v>
      </x:c>
      <x:c r="N33" s="30" t="str">
        <x:v>TRX-688726-0012</x:v>
      </x:c>
      <x:c r="O33" s="30" t="str">
        <x:v>CAPITAL_INCREASE_ENTRY</x:v>
      </x:c>
      <x:c r="P33" s="30" t="str">
        <x:v>ISSUER_LEVEL</x:v>
      </x:c>
      <x:c r="Q33" s="30" t="str">
        <x:v>DIRECT</x:v>
      </x:c>
      <x:c r="R33" s="30" t="str">
        <x:v>2021-09</x:v>
      </x:c>
      <x:c r="S33" s="30" t="str">
        <x:v>MONTH</x:v>
      </x:c>
      <x:c r="T33" s="30" t="str">
        <x:v>EVD-688726-0006</x:v>
      </x:c>
      <x:c r="U33" s="30" t="str">
        <x:v>WEEK11_PROSPECTUS_IDENTIFIED</x:v>
      </x:c>
      <x:c r="V33" s="30" t="str">
        <x:v>CONFIRMED</x:v>
      </x:c>
      <x:c r="W33" s="30" t="str">
        <x:v>WEEK8_SCHEMA_V1.0_DIRECT_REUSE_WITH_OBSERVATION_WINDOW_NOTE</x:v>
      </x:c>
      <x:c r="X33" s="30" t="str">
        <x:v>FINAL_APPROVED</x:v>
      </x:c>
    </x:row>
    <x:row r="34">
      <x:c r="A34" s="30" t="str">
        <x:v>PATH-688726-0030</x:v>
      </x:c>
      <x:c r="B34" s="30" t="str">
        <x:v>PATH-688726-0030-E01</x:v>
      </x:c>
      <x:c r="C34" s="30" t="n">
        <x:v>1</x:v>
      </x:c>
      <x:c r="D34" s="30" t="str">
        <x:v>688726</x:v>
      </x:c>
      <x:c r="E34" s="30" t="str">
        <x:v>STD-688726-014</x:v>
      </x:c>
      <x:c r="F34" s="30" t="str">
        <x:v>STD-688726-ISSUER</x:v>
      </x:c>
      <x:c r="G34" s="30" t="str">
        <x:v>CAPITAL_INCREASE</x:v>
      </x:c>
      <x:c r="H34" s="30" t="str">
        <x:v>CAPITAL_INCREASE</x:v>
      </x:c>
      <x:c r="I34" s="76" t="n">
        <x:v>0.005633792238017394</x:v>
      </x:c>
      <x:c r="J34" s="76" t="str">
        <x:v>DISCLOSED_COMPLETE</x:v>
      </x:c>
      <x:c r="K34" s="70" t="b">
        <x:v>1</x:v>
      </x:c>
      <x:c r="L34" s="30" t="str">
        <x:v>STD-688726-014</x:v>
      </x:c>
      <x:c r="M34" s="30" t="str">
        <x:v>EVT-688726-0006</x:v>
      </x:c>
      <x:c r="N34" s="30" t="str">
        <x:v>TRX-688726-0012</x:v>
      </x:c>
      <x:c r="O34" s="30" t="str">
        <x:v>CAPITAL_INCREASE_ENTRY</x:v>
      </x:c>
      <x:c r="P34" s="30" t="str">
        <x:v>ISSUER_LEVEL</x:v>
      </x:c>
      <x:c r="Q34" s="30" t="str">
        <x:v>DIRECT</x:v>
      </x:c>
      <x:c r="R34" s="30" t="str">
        <x:v>2021-09</x:v>
      </x:c>
      <x:c r="S34" s="30" t="str">
        <x:v>MONTH</x:v>
      </x:c>
      <x:c r="T34" s="30" t="str">
        <x:v>EVD-688726-0006</x:v>
      </x:c>
      <x:c r="U34" s="30" t="str">
        <x:v>WEEK11_PROSPECTUS_IDENTIFIED</x:v>
      </x:c>
      <x:c r="V34" s="30" t="str">
        <x:v>CONFIRMED</x:v>
      </x:c>
      <x:c r="W34" s="30" t="str">
        <x:v>WEEK8_SCHEMA_V1.0_DIRECT_REUSE_WITH_OBSERVATION_WINDOW_NOTE</x:v>
      </x:c>
      <x:c r="X34" s="30" t="str">
        <x:v>FINAL_APPROVED</x:v>
      </x:c>
    </x:row>
    <x:row r="35">
      <x:c r="A35" s="30" t="str">
        <x:v>PATH-688726-0031</x:v>
      </x:c>
      <x:c r="B35" s="30" t="str">
        <x:v>PATH-688726-0031-E01</x:v>
      </x:c>
      <x:c r="C35" s="30" t="n">
        <x:v>1</x:v>
      </x:c>
      <x:c r="D35" s="30" t="str">
        <x:v>688726</x:v>
      </x:c>
      <x:c r="E35" s="30" t="str">
        <x:v>STD-688726-026</x:v>
      </x:c>
      <x:c r="F35" s="30" t="str">
        <x:v>STD-688726-ISSUER</x:v>
      </x:c>
      <x:c r="G35" s="30" t="str">
        <x:v>CAPITAL_INCREASE</x:v>
      </x:c>
      <x:c r="H35" s="30" t="str">
        <x:v>CAPITAL_INCREASE</x:v>
      </x:c>
      <x:c r="I35" s="76" t="n">
        <x:v>0.007042259458255543</x:v>
      </x:c>
      <x:c r="J35" s="76" t="str">
        <x:v>DISCLOSED_COMPLETE</x:v>
      </x:c>
      <x:c r="K35" s="70" t="b">
        <x:v>1</x:v>
      </x:c>
      <x:c r="L35" s="30" t="str">
        <x:v>STD-688726-026</x:v>
      </x:c>
      <x:c r="M35" s="30" t="str">
        <x:v>EVT-688726-0006</x:v>
      </x:c>
      <x:c r="N35" s="30" t="str">
        <x:v>TRX-688726-0012</x:v>
      </x:c>
      <x:c r="O35" s="30" t="str">
        <x:v>CAPITAL_INCREASE_ENTRY</x:v>
      </x:c>
      <x:c r="P35" s="30" t="str">
        <x:v>ISSUER_LEVEL</x:v>
      </x:c>
      <x:c r="Q35" s="30" t="str">
        <x:v>DIRECT</x:v>
      </x:c>
      <x:c r="R35" s="30" t="str">
        <x:v>2021-09</x:v>
      </x:c>
      <x:c r="S35" s="30" t="str">
        <x:v>MONTH</x:v>
      </x:c>
      <x:c r="T35" s="30" t="str">
        <x:v>EVD-688726-0006</x:v>
      </x:c>
      <x:c r="U35" s="30" t="str">
        <x:v>WEEK11_PROSPECTUS_IDENTIFIED</x:v>
      </x:c>
      <x:c r="V35" s="30" t="str">
        <x:v>CONFIRMED</x:v>
      </x:c>
      <x:c r="W35" s="30" t="str">
        <x:v>WEEK8_SCHEMA_V1.0_DIRECT_REUSE_WITH_OBSERVATION_WINDOW_NOTE</x:v>
      </x:c>
      <x:c r="X35" s="30" t="str">
        <x:v>FINAL_APPROVED</x:v>
      </x:c>
    </x:row>
    <x:row r="36">
      <x:c r="A36" s="30" t="str">
        <x:v>PATH-688726-0032</x:v>
      </x:c>
      <x:c r="B36" s="30" t="str">
        <x:v>PATH-688726-0032-E01</x:v>
      </x:c>
      <x:c r="C36" s="30" t="n">
        <x:v>1</x:v>
      </x:c>
      <x:c r="D36" s="30" t="str">
        <x:v>688726</x:v>
      </x:c>
      <x:c r="E36" s="30" t="str">
        <x:v>STD-688726-003</x:v>
      </x:c>
      <x:c r="F36" s="30" t="str">
        <x:v>STD-688726-ISSUER</x:v>
      </x:c>
      <x:c r="G36" s="30" t="str">
        <x:v>CAPITAL_INCREASE</x:v>
      </x:c>
      <x:c r="H36" s="30" t="str">
        <x:v>CAPITAL_INCREASE</x:v>
      </x:c>
      <x:c r="I36" s="76" t="n">
        <x:v>0.014159288839191715</x:v>
      </x:c>
      <x:c r="J36" s="76" t="str">
        <x:v>DISCLOSED_COMPLETE</x:v>
      </x:c>
      <x:c r="K36" s="70" t="b">
        <x:v>1</x:v>
      </x:c>
      <x:c r="L36" s="30" t="str">
        <x:v>STD-688726-003</x:v>
      </x:c>
      <x:c r="M36" s="30" t="str">
        <x:v>EVT-688726-0009</x:v>
      </x:c>
      <x:c r="N36" s="30" t="str">
        <x:v>TRX-688726-0019</x:v>
      </x:c>
      <x:c r="O36" s="30" t="str">
        <x:v>CAPITAL_INCREASE_ENTRY</x:v>
      </x:c>
      <x:c r="P36" s="30" t="str">
        <x:v>ISSUER_LEVEL</x:v>
      </x:c>
      <x:c r="Q36" s="30" t="str">
        <x:v>DIRECT</x:v>
      </x:c>
      <x:c r="R36" s="30" t="str">
        <x:v>2021-12</x:v>
      </x:c>
      <x:c r="S36" s="30" t="str">
        <x:v>MONTH</x:v>
      </x:c>
      <x:c r="T36" s="30" t="str">
        <x:v>EVD-688726-0009</x:v>
      </x:c>
      <x:c r="U36" s="30" t="str">
        <x:v>WEEK11_PROSPECTUS_IDENTIFIED</x:v>
      </x:c>
      <x:c r="V36" s="30" t="str">
        <x:v>CONFIRMED</x:v>
      </x:c>
      <x:c r="W36" s="30" t="str">
        <x:v>WEEK8_SCHEMA_V1.0_DIRECT_REUSE_WITH_OBSERVATION_WINDOW_NOTE</x:v>
      </x:c>
      <x:c r="X36" s="30" t="str">
        <x:v>FINAL_APPROVED</x:v>
      </x:c>
    </x:row>
    <x:row r="37">
      <x:c r="A37" s="30" t="str">
        <x:v>PATH-688726-0033</x:v>
      </x:c>
      <x:c r="B37" s="30" t="str">
        <x:v>PATH-688726-0033-E01</x:v>
      </x:c>
      <x:c r="C37" s="30" t="n">
        <x:v>1</x:v>
      </x:c>
      <x:c r="D37" s="30" t="str">
        <x:v>688726</x:v>
      </x:c>
      <x:c r="E37" s="30" t="str">
        <x:v>STD-688726-030</x:v>
      </x:c>
      <x:c r="F37" s="30" t="str">
        <x:v>STD-688726-ISSUER</x:v>
      </x:c>
      <x:c r="G37" s="30" t="str">
        <x:v>CAPITAL_INCREASE</x:v>
      </x:c>
      <x:c r="H37" s="30" t="str">
        <x:v>CAPITAL_INCREASE</x:v>
      </x:c>
      <x:c r="I37" s="76" t="n">
        <x:v>0.01460179596058754</x:v>
      </x:c>
      <x:c r="J37" s="76" t="str">
        <x:v>DISCLOSED_COMPLETE</x:v>
      </x:c>
      <x:c r="K37" s="70" t="b">
        <x:v>1</x:v>
      </x:c>
      <x:c r="L37" s="30" t="str">
        <x:v>STD-688726-030</x:v>
      </x:c>
      <x:c r="M37" s="30" t="str">
        <x:v>EVT-688726-0009</x:v>
      </x:c>
      <x:c r="N37" s="30" t="str">
        <x:v>TRX-688726-0019</x:v>
      </x:c>
      <x:c r="O37" s="30" t="str">
        <x:v>CAPITAL_INCREASE_ENTRY</x:v>
      </x:c>
      <x:c r="P37" s="30" t="str">
        <x:v>ISSUER_LEVEL</x:v>
      </x:c>
      <x:c r="Q37" s="30" t="str">
        <x:v>DIRECT</x:v>
      </x:c>
      <x:c r="R37" s="30" t="str">
        <x:v>2021-12</x:v>
      </x:c>
      <x:c r="S37" s="30" t="str">
        <x:v>MONTH</x:v>
      </x:c>
      <x:c r="T37" s="30" t="str">
        <x:v>EVD-688726-0009</x:v>
      </x:c>
      <x:c r="U37" s="30" t="str">
        <x:v>WEEK11_PROSPECTUS_IDENTIFIED</x:v>
      </x:c>
      <x:c r="V37" s="30" t="str">
        <x:v>CONFIRMED</x:v>
      </x:c>
      <x:c r="W37" s="30" t="str">
        <x:v>WEEK8_SCHEMA_V1.0_DIRECT_REUSE_WITH_OBSERVATION_WINDOW_NOTE</x:v>
      </x:c>
      <x:c r="X37" s="30" t="str">
        <x:v>FINAL_APPROVED</x:v>
      </x:c>
    </x:row>
    <x:row r="38">
      <x:c r="A38" s="30" t="str">
        <x:v>PATH-688726-0034</x:v>
      </x:c>
      <x:c r="B38" s="30" t="str">
        <x:v>PATH-688726-0034-E01</x:v>
      </x:c>
      <x:c r="C38" s="30" t="n">
        <x:v>1</x:v>
      </x:c>
      <x:c r="D38" s="30" t="str">
        <x:v>688726</x:v>
      </x:c>
      <x:c r="E38" s="30" t="str">
        <x:v>STD-688726-043</x:v>
      </x:c>
      <x:c r="F38" s="30" t="str">
        <x:v>STD-688726-ISSUER</x:v>
      </x:c>
      <x:c r="G38" s="30" t="str">
        <x:v>CAPITAL_INCREASE</x:v>
      </x:c>
      <x:c r="H38" s="30" t="str">
        <x:v>CAPITAL_INCREASE</x:v>
      </x:c>
      <x:c r="I38" s="76" t="n">
        <x:v>0.015486737969111906</x:v>
      </x:c>
      <x:c r="J38" s="76" t="str">
        <x:v>DISCLOSED_COMPLETE</x:v>
      </x:c>
      <x:c r="K38" s="70" t="b">
        <x:v>1</x:v>
      </x:c>
      <x:c r="L38" s="30" t="str">
        <x:v>STD-688726-043</x:v>
      </x:c>
      <x:c r="M38" s="30" t="str">
        <x:v>EVT-688726-0009</x:v>
      </x:c>
      <x:c r="N38" s="30" t="str">
        <x:v>TRX-688726-0019</x:v>
      </x:c>
      <x:c r="O38" s="30" t="str">
        <x:v>CAPITAL_INCREASE_ENTRY</x:v>
      </x:c>
      <x:c r="P38" s="30" t="str">
        <x:v>ISSUER_LEVEL</x:v>
      </x:c>
      <x:c r="Q38" s="30" t="str">
        <x:v>DIRECT</x:v>
      </x:c>
      <x:c r="R38" s="30" t="str">
        <x:v>2021-12</x:v>
      </x:c>
      <x:c r="S38" s="30" t="str">
        <x:v>MONTH</x:v>
      </x:c>
      <x:c r="T38" s="30" t="str">
        <x:v>EVD-688726-0009</x:v>
      </x:c>
      <x:c r="U38" s="30" t="str">
        <x:v>WEEK11_PROSPECTUS_IDENTIFIED</x:v>
      </x:c>
      <x:c r="V38" s="30" t="str">
        <x:v>CONFIRMED</x:v>
      </x:c>
      <x:c r="W38" s="30" t="str">
        <x:v>WEEK8_SCHEMA_V1.0_DIRECT_REUSE_WITH_OBSERVATION_WINDOW_NOTE</x:v>
      </x:c>
      <x:c r="X38" s="30" t="str">
        <x:v>FINAL_APPROVED</x:v>
      </x:c>
    </x:row>
    <x:row r="39">
      <x:c r="A39" s="30" t="str">
        <x:v>PATH-688726-0035</x:v>
      </x:c>
      <x:c r="B39" s="30" t="str">
        <x:v>PATH-688726-0035-E01</x:v>
      </x:c>
      <x:c r="C39" s="30" t="n">
        <x:v>1</x:v>
      </x:c>
      <x:c r="D39" s="30" t="str">
        <x:v>688726</x:v>
      </x:c>
      <x:c r="E39" s="30" t="str">
        <x:v>STD-688726-007</x:v>
      </x:c>
      <x:c r="F39" s="30" t="str">
        <x:v>STD-688726-ISSUER</x:v>
      </x:c>
      <x:c r="G39" s="30" t="str">
        <x:v>CAPITAL_INCREASE</x:v>
      </x:c>
      <x:c r="H39" s="30" t="str">
        <x:v>CAPITAL_INCREASE</x:v>
      </x:c>
      <x:c r="I39" s="76" t="n">
        <x:v>0.013274346830667349</x:v>
      </x:c>
      <x:c r="J39" s="76" t="str">
        <x:v>DISCLOSED_COMPLETE</x:v>
      </x:c>
      <x:c r="K39" s="70" t="b">
        <x:v>1</x:v>
      </x:c>
      <x:c r="L39" s="30" t="str">
        <x:v>STD-688726-007</x:v>
      </x:c>
      <x:c r="M39" s="30" t="str">
        <x:v>EVT-688726-0009</x:v>
      </x:c>
      <x:c r="N39" s="30" t="str">
        <x:v>TRX-688726-0019</x:v>
      </x:c>
      <x:c r="O39" s="30" t="str">
        <x:v>CAPITAL_INCREASE_ENTRY</x:v>
      </x:c>
      <x:c r="P39" s="30" t="str">
        <x:v>ISSUER_LEVEL</x:v>
      </x:c>
      <x:c r="Q39" s="30" t="str">
        <x:v>DIRECT</x:v>
      </x:c>
      <x:c r="R39" s="30" t="str">
        <x:v>2021-12</x:v>
      </x:c>
      <x:c r="S39" s="30" t="str">
        <x:v>MONTH</x:v>
      </x:c>
      <x:c r="T39" s="30" t="str">
        <x:v>EVD-688726-0009</x:v>
      </x:c>
      <x:c r="U39" s="30" t="str">
        <x:v>WEEK11_PROSPECTUS_IDENTIFIED</x:v>
      </x:c>
      <x:c r="V39" s="30" t="str">
        <x:v>CONFIRMED</x:v>
      </x:c>
      <x:c r="W39" s="30" t="str">
        <x:v>WEEK8_SCHEMA_V1.0_DIRECT_REUSE_WITH_OBSERVATION_WINDOW_NOTE</x:v>
      </x:c>
      <x:c r="X39" s="30" t="str">
        <x:v>FINAL_APPROVED</x:v>
      </x:c>
    </x:row>
    <x:row r="40">
      <x:c r="A40" s="30" t="str">
        <x:v>PATH-688726-0036</x:v>
      </x:c>
      <x:c r="B40" s="30" t="str">
        <x:v>PATH-688726-0036-E01</x:v>
      </x:c>
      <x:c r="C40" s="30" t="n">
        <x:v>1</x:v>
      </x:c>
      <x:c r="D40" s="30" t="str">
        <x:v>688726</x:v>
      </x:c>
      <x:c r="E40" s="30" t="str">
        <x:v>STD-688726-034</x:v>
      </x:c>
      <x:c r="F40" s="30" t="str">
        <x:v>STD-688726-ISSUER</x:v>
      </x:c>
      <x:c r="G40" s="30" t="str">
        <x:v>CAPITAL_INCREASE</x:v>
      </x:c>
      <x:c r="H40" s="30" t="str">
        <x:v>CAPITAL_INCREASE</x:v>
      </x:c>
      <x:c r="I40" s="76" t="n">
        <x:v>0.004405289828531271</x:v>
      </x:c>
      <x:c r="J40" s="76" t="str">
        <x:v>DISCLOSED_COMPLETE</x:v>
      </x:c>
      <x:c r="K40" s="70" t="b">
        <x:v>1</x:v>
      </x:c>
      <x:c r="L40" s="30" t="str">
        <x:v>STD-688726-034</x:v>
      </x:c>
      <x:c r="M40" s="30" t="str">
        <x:v>EVT-688726-0012</x:v>
      </x:c>
      <x:c r="N40" s="30" t="str">
        <x:v>TRX-688726-0031</x:v>
      </x:c>
      <x:c r="O40" s="30" t="str">
        <x:v>CAPITAL_INCREASE_ENTRY</x:v>
      </x:c>
      <x:c r="P40" s="30" t="str">
        <x:v>ISSUER_LEVEL</x:v>
      </x:c>
      <x:c r="Q40" s="30" t="str">
        <x:v>DIRECT</x:v>
      </x:c>
      <x:c r="R40" s="30" t="str">
        <x:v>2022-05</x:v>
      </x:c>
      <x:c r="S40" s="30" t="str">
        <x:v>MONTH</x:v>
      </x:c>
      <x:c r="T40" s="30" t="str">
        <x:v>EVD-688726-0012</x:v>
      </x:c>
      <x:c r="U40" s="30" t="str">
        <x:v>WEEK11_PROSPECTUS_IDENTIFIED</x:v>
      </x:c>
      <x:c r="V40" s="30" t="str">
        <x:v>CONFIRMED</x:v>
      </x:c>
      <x:c r="W40" s="30" t="str">
        <x:v>WEEK8_SCHEMA_V1.0_DIRECT_REUSE_WITH_OBSERVATION_WINDOW_NOTE</x:v>
      </x:c>
      <x:c r="X40" s="30" t="str">
        <x:v>FINAL_APPROVED</x:v>
      </x:c>
    </x:row>
    <x:row r="41">
      <x:c r="A41" s="30" t="str">
        <x:v>PATH-688726-0037</x:v>
      </x:c>
      <x:c r="B41" s="30" t="str">
        <x:v>PATH-688726-0037-E01</x:v>
      </x:c>
      <x:c r="C41" s="30" t="n">
        <x:v>1</x:v>
      </x:c>
      <x:c r="D41" s="30" t="str">
        <x:v>688726</x:v>
      </x:c>
      <x:c r="E41" s="30" t="str">
        <x:v>STD-688726-032</x:v>
      </x:c>
      <x:c r="F41" s="30" t="str">
        <x:v>STD-688726-ISSUER</x:v>
      </x:c>
      <x:c r="G41" s="30" t="str">
        <x:v>CAPITAL_INCREASE</x:v>
      </x:c>
      <x:c r="H41" s="30" t="str">
        <x:v>CAPITAL_INCREASE</x:v>
      </x:c>
      <x:c r="I41" s="76" t="n">
        <x:v>0.009968723684694201</x:v>
      </x:c>
      <x:c r="J41" s="76" t="str">
        <x:v>DISCLOSED_COMPLETE</x:v>
      </x:c>
      <x:c r="K41" s="70" t="b">
        <x:v>1</x:v>
      </x:c>
      <x:c r="L41" s="30" t="str">
        <x:v>STD-688726-032</x:v>
      </x:c>
      <x:c r="M41" s="30" t="str">
        <x:v>EVT-688726-0013</x:v>
      </x:c>
      <x:c r="N41" s="30" t="str">
        <x:v>TRX-688726-0032</x:v>
      </x:c>
      <x:c r="O41" s="30" t="str">
        <x:v>CAPITAL_INCREASE_ENTRY</x:v>
      </x:c>
      <x:c r="P41" s="30" t="str">
        <x:v>ISSUER_LEVEL</x:v>
      </x:c>
      <x:c r="Q41" s="30" t="str">
        <x:v>DIRECT</x:v>
      </x:c>
      <x:c r="R41" s="30" t="str">
        <x:v>2022-07</x:v>
      </x:c>
      <x:c r="S41" s="30" t="str">
        <x:v>MONTH</x:v>
      </x:c>
      <x:c r="T41" s="30" t="str">
        <x:v>EVD-688726-0013</x:v>
      </x:c>
      <x:c r="U41" s="30" t="str">
        <x:v>WEEK11_PROSPECTUS_IDENTIFIED</x:v>
      </x:c>
      <x:c r="V41" s="30" t="str">
        <x:v>CONFIRMED</x:v>
      </x:c>
      <x:c r="W41" s="30" t="str">
        <x:v>WEEK8_SCHEMA_V1.0_DIRECT_REUSE_WITH_OBSERVATION_WINDOW_NOTE</x:v>
      </x:c>
      <x:c r="X41" s="30" t="str">
        <x:v>FINAL_APPROVED</x:v>
      </x:c>
    </x:row>
    <x:row r="42">
      <x:c r="A42" s="30" t="str">
        <x:v>PATH-688726-0038</x:v>
      </x:c>
      <x:c r="B42" s="30" t="str">
        <x:v>PATH-688726-0038-E01</x:v>
      </x:c>
      <x:c r="C42" s="30" t="n">
        <x:v>1</x:v>
      </x:c>
      <x:c r="D42" s="30" t="str">
        <x:v>688726</x:v>
      </x:c>
      <x:c r="E42" s="30" t="str">
        <x:v>STD-688726-071</x:v>
      </x:c>
      <x:c r="F42" s="30" t="str">
        <x:v>STD-688726-ISSUER</x:v>
      </x:c>
      <x:c r="G42" s="30" t="str">
        <x:v>CAPITAL_INCREASE</x:v>
      </x:c>
      <x:c r="H42" s="30" t="str">
        <x:v>CAPITAL_INCREASE</x:v>
      </x:c>
      <x:c r="I42" s="76" t="n">
        <x:v>0.007427694386843578</x:v>
      </x:c>
      <x:c r="J42" s="76" t="str">
        <x:v>DISCLOSED_COMPLETE</x:v>
      </x:c>
      <x:c r="K42" s="70" t="b">
        <x:v>1</x:v>
      </x:c>
      <x:c r="L42" s="30" t="str">
        <x:v>STD-688726-071</x:v>
      </x:c>
      <x:c r="M42" s="30" t="str">
        <x:v>EVT-688726-0013</x:v>
      </x:c>
      <x:c r="N42" s="30" t="str">
        <x:v>TRX-688726-0032</x:v>
      </x:c>
      <x:c r="O42" s="30" t="str">
        <x:v>CAPITAL_INCREASE_ENTRY</x:v>
      </x:c>
      <x:c r="P42" s="30" t="str">
        <x:v>ISSUER_LEVEL</x:v>
      </x:c>
      <x:c r="Q42" s="30" t="str">
        <x:v>DIRECT</x:v>
      </x:c>
      <x:c r="R42" s="30" t="str">
        <x:v>2022-07</x:v>
      </x:c>
      <x:c r="S42" s="30" t="str">
        <x:v>MONTH</x:v>
      </x:c>
      <x:c r="T42" s="30" t="str">
        <x:v>EVD-688726-0013</x:v>
      </x:c>
      <x:c r="U42" s="30" t="str">
        <x:v>WEEK11_PROSPECTUS_IDENTIFIED</x:v>
      </x:c>
      <x:c r="V42" s="30" t="str">
        <x:v>CONFIRMED</x:v>
      </x:c>
      <x:c r="W42" s="30" t="str">
        <x:v>WEEK8_SCHEMA_V1.0_DIRECT_REUSE_WITH_OBSERVATION_WINDOW_NOTE</x:v>
      </x:c>
      <x:c r="X42" s="30" t="str">
        <x:v>FINAL_APPROVED</x:v>
      </x:c>
    </x:row>
    <x:row r="43">
      <x:c r="A43" s="30" t="str">
        <x:v>PATH-688726-0039</x:v>
      </x:c>
      <x:c r="B43" s="30" t="str">
        <x:v>PATH-688726-0039-E01</x:v>
      </x:c>
      <x:c r="C43" s="30" t="n">
        <x:v>1</x:v>
      </x:c>
      <x:c r="D43" s="30" t="str">
        <x:v>688726</x:v>
      </x:c>
      <x:c r="E43" s="30" t="str">
        <x:v>STD-688726-076</x:v>
      </x:c>
      <x:c r="F43" s="30" t="str">
        <x:v>STD-688726-ISSUER</x:v>
      </x:c>
      <x:c r="G43" s="30" t="str">
        <x:v>CAPITAL_INCREASE</x:v>
      </x:c>
      <x:c r="H43" s="30" t="str">
        <x:v>CAPITAL_INCREASE</x:v>
      </x:c>
      <x:c r="I43" s="76" t="n">
        <x:v>0.0029319568821353334</x:v>
      </x:c>
      <x:c r="J43" s="76" t="str">
        <x:v>DISCLOSED_COMPLETE</x:v>
      </x:c>
      <x:c r="K43" s="70" t="b">
        <x:v>1</x:v>
      </x:c>
      <x:c r="L43" s="30" t="str">
        <x:v>STD-688726-076</x:v>
      </x:c>
      <x:c r="M43" s="30" t="str">
        <x:v>EVT-688726-0013</x:v>
      </x:c>
      <x:c r="N43" s="30" t="str">
        <x:v>TRX-688726-0032</x:v>
      </x:c>
      <x:c r="O43" s="30" t="str">
        <x:v>CAPITAL_INCREASE_ENTRY</x:v>
      </x:c>
      <x:c r="P43" s="30" t="str">
        <x:v>ISSUER_LEVEL</x:v>
      </x:c>
      <x:c r="Q43" s="30" t="str">
        <x:v>DIRECT</x:v>
      </x:c>
      <x:c r="R43" s="30" t="str">
        <x:v>2022-07</x:v>
      </x:c>
      <x:c r="S43" s="30" t="str">
        <x:v>MONTH</x:v>
      </x:c>
      <x:c r="T43" s="30" t="str">
        <x:v>EVD-688726-0013</x:v>
      </x:c>
      <x:c r="U43" s="30" t="str">
        <x:v>WEEK11_PROSPECTUS_IDENTIFIED</x:v>
      </x:c>
      <x:c r="V43" s="30" t="str">
        <x:v>CONFIRMED</x:v>
      </x:c>
      <x:c r="W43" s="30" t="str">
        <x:v>WEEK8_SCHEMA_V1.0_DIRECT_REUSE_WITH_OBSERVATION_WINDOW_NOTE</x:v>
      </x:c>
      <x:c r="X43" s="30" t="str">
        <x:v>FINAL_APPROVED</x:v>
      </x:c>
    </x:row>
    <x:row r="44">
      <x:c r="A44" s="30" t="str">
        <x:v>PATH-688726-0040</x:v>
      </x:c>
      <x:c r="B44" s="30" t="str">
        <x:v>PATH-688726-0040-E01</x:v>
      </x:c>
      <x:c r="C44" s="30" t="n">
        <x:v>1</x:v>
      </x:c>
      <x:c r="D44" s="30" t="str">
        <x:v>688726</x:v>
      </x:c>
      <x:c r="E44" s="30" t="str">
        <x:v>STD-688726-075</x:v>
      </x:c>
      <x:c r="F44" s="30" t="str">
        <x:v>STD-688726-ISSUER</x:v>
      </x:c>
      <x:c r="G44" s="30" t="str">
        <x:v>CAPITAL_INCREASE</x:v>
      </x:c>
      <x:c r="H44" s="30" t="str">
        <x:v>CAPITAL_INCREASE</x:v>
      </x:c>
      <x:c r="I44" s="76" t="n">
        <x:v>0.002345565505708267</x:v>
      </x:c>
      <x:c r="J44" s="76" t="str">
        <x:v>DISCLOSED_COMPLETE</x:v>
      </x:c>
      <x:c r="K44" s="70" t="b">
        <x:v>1</x:v>
      </x:c>
      <x:c r="L44" s="30" t="str">
        <x:v>STD-688726-075</x:v>
      </x:c>
      <x:c r="M44" s="30" t="str">
        <x:v>EVT-688726-0013</x:v>
      </x:c>
      <x:c r="N44" s="30" t="str">
        <x:v>TRX-688726-0032</x:v>
      </x:c>
      <x:c r="O44" s="30" t="str">
        <x:v>CAPITAL_INCREASE_ENTRY</x:v>
      </x:c>
      <x:c r="P44" s="30" t="str">
        <x:v>ISSUER_LEVEL</x:v>
      </x:c>
      <x:c r="Q44" s="30" t="str">
        <x:v>DIRECT</x:v>
      </x:c>
      <x:c r="R44" s="30" t="str">
        <x:v>2022-07</x:v>
      </x:c>
      <x:c r="S44" s="30" t="str">
        <x:v>MONTH</x:v>
      </x:c>
      <x:c r="T44" s="30" t="str">
        <x:v>EVD-688726-0013</x:v>
      </x:c>
      <x:c r="U44" s="30" t="str">
        <x:v>WEEK11_PROSPECTUS_IDENTIFIED</x:v>
      </x:c>
      <x:c r="V44" s="30" t="str">
        <x:v>CONFIRMED</x:v>
      </x:c>
      <x:c r="W44" s="30" t="str">
        <x:v>WEEK8_SCHEMA_V1.0_DIRECT_REUSE_WITH_OBSERVATION_WINDOW_NOTE</x:v>
      </x:c>
      <x:c r="X44" s="30" t="str">
        <x:v>FINAL_APPROVED</x:v>
      </x:c>
    </x:row>
    <x:row r="45">
      <x:c r="A45" s="30" t="str">
        <x:v>PATH-688726-0041</x:v>
      </x:c>
      <x:c r="B45" s="30" t="str">
        <x:v>PATH-688726-0041-E01</x:v>
      </x:c>
      <x:c r="C45" s="30" t="n">
        <x:v>1</x:v>
      </x:c>
      <x:c r="D45" s="30" t="str">
        <x:v>688726</x:v>
      </x:c>
      <x:c r="E45" s="30" t="str">
        <x:v>STD-688726-015</x:v>
      </x:c>
      <x:c r="F45" s="30" t="str">
        <x:v>STD-688726-ISSUER</x:v>
      </x:c>
      <x:c r="G45" s="30" t="str">
        <x:v>CAPITAL_INCREASE</x:v>
      </x:c>
      <x:c r="H45" s="30" t="str">
        <x:v>CAPITAL_INCREASE</x:v>
      </x:c>
      <x:c r="I45" s="76" t="n">
        <x:v>0.015165902493285222</x:v>
      </x:c>
      <x:c r="J45" s="76" t="str">
        <x:v>DISCLOSED_COMPLETE</x:v>
      </x:c>
      <x:c r="K45" s="70" t="b">
        <x:v>1</x:v>
      </x:c>
      <x:c r="L45" s="30" t="str">
        <x:v>STD-688726-015</x:v>
      </x:c>
      <x:c r="M45" s="30" t="str">
        <x:v>EVT-688726-0014</x:v>
      </x:c>
      <x:c r="N45" s="30" t="str">
        <x:v>TRX-688726-0033</x:v>
      </x:c>
      <x:c r="O45" s="30" t="str">
        <x:v>CAPITAL_INCREASE_ENTRY</x:v>
      </x:c>
      <x:c r="P45" s="30" t="str">
        <x:v>ISSUER_LEVEL</x:v>
      </x:c>
      <x:c r="Q45" s="30" t="str">
        <x:v>DIRECT</x:v>
      </x:c>
      <x:c r="R45" s="30" t="str">
        <x:v>2022-07</x:v>
      </x:c>
      <x:c r="S45" s="30" t="str">
        <x:v>MONTH</x:v>
      </x:c>
      <x:c r="T45" s="30" t="str">
        <x:v>EVD-688726-0014</x:v>
      </x:c>
      <x:c r="U45" s="30" t="str">
        <x:v>WEEK11_PROSPECTUS_IDENTIFIED</x:v>
      </x:c>
      <x:c r="V45" s="30" t="str">
        <x:v>CONFIRMED</x:v>
      </x:c>
      <x:c r="W45" s="30" t="str">
        <x:v>WEEK8_SCHEMA_V1.0_DIRECT_REUSE_WITH_OBSERVATION_WINDOW_NOTE</x:v>
      </x:c>
      <x:c r="X45" s="30" t="str">
        <x:v>FINAL_APPROVED</x:v>
      </x:c>
    </x:row>
    <x:row r="46">
      <x:c r="A46" s="30" t="str">
        <x:v>PATH-688726-0042</x:v>
      </x:c>
      <x:c r="B46" s="30" t="str">
        <x:v>PATH-688726-0042-E01</x:v>
      </x:c>
      <x:c r="C46" s="30" t="n">
        <x:v>1</x:v>
      </x:c>
      <x:c r="D46" s="30" t="str">
        <x:v>688726</x:v>
      </x:c>
      <x:c r="E46" s="30" t="str">
        <x:v>STD-688726-049</x:v>
      </x:c>
      <x:c r="F46" s="30" t="str">
        <x:v>STD-688726-ISSUER</x:v>
      </x:c>
      <x:c r="G46" s="30" t="str">
        <x:v>CAPITAL_INCREASE</x:v>
      </x:c>
      <x:c r="H46" s="30" t="str">
        <x:v>CAPITAL_INCREASE</x:v>
      </x:c>
      <x:c r="I46" s="76" t="n">
        <x:v>0.005497658399706282</x:v>
      </x:c>
      <x:c r="J46" s="76" t="str">
        <x:v>DISCLOSED_COMPLETE</x:v>
      </x:c>
      <x:c r="K46" s="70" t="b">
        <x:v>1</x:v>
      </x:c>
      <x:c r="L46" s="30" t="str">
        <x:v>STD-688726-049</x:v>
      </x:c>
      <x:c r="M46" s="30" t="str">
        <x:v>EVT-688726-0014</x:v>
      </x:c>
      <x:c r="N46" s="30" t="str">
        <x:v>TRX-688726-0033</x:v>
      </x:c>
      <x:c r="O46" s="30" t="str">
        <x:v>CAPITAL_INCREASE_ENTRY</x:v>
      </x:c>
      <x:c r="P46" s="30" t="str">
        <x:v>ISSUER_LEVEL</x:v>
      </x:c>
      <x:c r="Q46" s="30" t="str">
        <x:v>DIRECT</x:v>
      </x:c>
      <x:c r="R46" s="30" t="str">
        <x:v>2022-07</x:v>
      </x:c>
      <x:c r="S46" s="30" t="str">
        <x:v>MONTH</x:v>
      </x:c>
      <x:c r="T46" s="30" t="str">
        <x:v>EVD-688726-0014</x:v>
      </x:c>
      <x:c r="U46" s="30" t="str">
        <x:v>WEEK11_PROSPECTUS_IDENTIFIED</x:v>
      </x:c>
      <x:c r="V46" s="30" t="str">
        <x:v>CONFIRMED</x:v>
      </x:c>
      <x:c r="W46" s="30" t="str">
        <x:v>WEEK8_SCHEMA_V1.0_DIRECT_REUSE_WITH_OBSERVATION_WINDOW_NOTE</x:v>
      </x:c>
      <x:c r="X46" s="30" t="str">
        <x:v>FINAL_APPROVED</x:v>
      </x:c>
    </x:row>
    <x:row r="47">
      <x:c r="A47" s="30" t="str">
        <x:v>PATH-688726-0043</x:v>
      </x:c>
      <x:c r="B47" s="30" t="str">
        <x:v>PATH-688726-0043-E01</x:v>
      </x:c>
      <x:c r="C47" s="30" t="n">
        <x:v>1</x:v>
      </x:c>
      <x:c r="D47" s="30" t="str">
        <x:v>688726</x:v>
      </x:c>
      <x:c r="E47" s="30" t="str">
        <x:v>STD-688726-048</x:v>
      </x:c>
      <x:c r="F47" s="30" t="str">
        <x:v>STD-688726-ISSUER</x:v>
      </x:c>
      <x:c r="G47" s="30" t="str">
        <x:v>CAPITAL_INCREASE</x:v>
      </x:c>
      <x:c r="H47" s="30" t="str">
        <x:v>CAPITAL_INCREASE</x:v>
      </x:c>
      <x:c r="I47" s="76" t="n">
        <x:v>0.009478672016584727</x:v>
      </x:c>
      <x:c r="J47" s="76" t="str">
        <x:v>DISCLOSED_COMPLETE</x:v>
      </x:c>
      <x:c r="K47" s="70" t="b">
        <x:v>1</x:v>
      </x:c>
      <x:c r="L47" s="30" t="str">
        <x:v>STD-688726-048</x:v>
      </x:c>
      <x:c r="M47" s="30" t="str">
        <x:v>EVT-688726-0014</x:v>
      </x:c>
      <x:c r="N47" s="30" t="str">
        <x:v>TRX-688726-0033</x:v>
      </x:c>
      <x:c r="O47" s="30" t="str">
        <x:v>CAPITAL_INCREASE_ENTRY</x:v>
      </x:c>
      <x:c r="P47" s="30" t="str">
        <x:v>ISSUER_LEVEL</x:v>
      </x:c>
      <x:c r="Q47" s="30" t="str">
        <x:v>DIRECT</x:v>
      </x:c>
      <x:c r="R47" s="30" t="str">
        <x:v>2022-07</x:v>
      </x:c>
      <x:c r="S47" s="30" t="str">
        <x:v>MONTH</x:v>
      </x:c>
      <x:c r="T47" s="30" t="str">
        <x:v>EVD-688726-0014</x:v>
      </x:c>
      <x:c r="U47" s="30" t="str">
        <x:v>WEEK11_PROSPECTUS_IDENTIFIED</x:v>
      </x:c>
      <x:c r="V47" s="30" t="str">
        <x:v>CONFIRMED</x:v>
      </x:c>
      <x:c r="W47" s="30" t="str">
        <x:v>WEEK8_SCHEMA_V1.0_DIRECT_REUSE_WITH_OBSERVATION_WINDOW_NOTE</x:v>
      </x:c>
      <x:c r="X47" s="30" t="str">
        <x:v>FINAL_APPROVED</x:v>
      </x:c>
    </x:row>
    <x:row r="48">
      <x:c r="A48" s="30" t="str">
        <x:v>PATH-688726-0044</x:v>
      </x:c>
      <x:c r="B48" s="30" t="str">
        <x:v>PATH-688726-0044-E01</x:v>
      </x:c>
      <x:c r="C48" s="30" t="n">
        <x:v>1</x:v>
      </x:c>
      <x:c r="D48" s="30" t="str">
        <x:v>688726</x:v>
      </x:c>
      <x:c r="E48" s="30" t="str">
        <x:v>STD-688726-039</x:v>
      </x:c>
      <x:c r="F48" s="30" t="str">
        <x:v>STD-688726-ISSUER</x:v>
      </x:c>
      <x:c r="G48" s="30" t="str">
        <x:v>CAPITAL_INCREASE</x:v>
      </x:c>
      <x:c r="H48" s="30" t="str">
        <x:v>CAPITAL_INCREASE</x:v>
      </x:c>
      <x:c r="I48" s="76" t="n">
        <x:v>0.03370582396178529</x:v>
      </x:c>
      <x:c r="J48" s="76" t="str">
        <x:v>DISCLOSED_COMPLETE</x:v>
      </x:c>
      <x:c r="K48" s="70" t="b">
        <x:v>1</x:v>
      </x:c>
      <x:c r="L48" s="30" t="str">
        <x:v>STD-688726-039</x:v>
      </x:c>
      <x:c r="M48" s="30" t="str">
        <x:v>EVT-688726-0016</x:v>
      </x:c>
      <x:c r="N48" s="30" t="str">
        <x:v>TRX-688726-0039</x:v>
      </x:c>
      <x:c r="O48" s="30" t="str">
        <x:v>CAPITAL_INCREASE_ENTRY</x:v>
      </x:c>
      <x:c r="P48" s="30" t="str">
        <x:v>ISSUER_LEVEL</x:v>
      </x:c>
      <x:c r="Q48" s="30" t="str">
        <x:v>DIRECT</x:v>
      </x:c>
      <x:c r="R48" s="30" t="str">
        <x:v>2022-08</x:v>
      </x:c>
      <x:c r="S48" s="30" t="str">
        <x:v>MONTH</x:v>
      </x:c>
      <x:c r="T48" s="30" t="str">
        <x:v>EVD-688726-0016</x:v>
      </x:c>
      <x:c r="U48" s="30" t="str">
        <x:v>WEEK11_PROSPECTUS_IDENTIFIED</x:v>
      </x:c>
      <x:c r="V48" s="30" t="str">
        <x:v>CONFIRMED</x:v>
      </x:c>
      <x:c r="W48" s="30" t="str">
        <x:v>WEEK8_SCHEMA_V1.0_DIRECT_REUSE_WITH_OBSERVATION_WINDOW_NOTE</x:v>
      </x:c>
      <x:c r="X48" s="30" t="str">
        <x:v>FINAL_APPROVED</x:v>
      </x:c>
    </x:row>
    <x:row r="49">
      <x:c r="A49" s="30" t="str">
        <x:v>PATH-688726-0045</x:v>
      </x:c>
      <x:c r="B49" s="30" t="str">
        <x:v>PATH-688726-0045-E01</x:v>
      </x:c>
      <x:c r="C49" s="30" t="n">
        <x:v>1</x:v>
      </x:c>
      <x:c r="D49" s="30" t="str">
        <x:v>688726</x:v>
      </x:c>
      <x:c r="E49" s="30" t="str">
        <x:v>STD-688726-015</x:v>
      </x:c>
      <x:c r="F49" s="30" t="str">
        <x:v>STD-688726-ISSUER</x:v>
      </x:c>
      <x:c r="G49" s="30" t="str">
        <x:v>CAPITAL_INCREASE</x:v>
      </x:c>
      <x:c r="H49" s="30" t="str">
        <x:v>CAPITAL_INCREASE</x:v>
      </x:c>
      <x:c r="I49" s="76" t="n">
        <x:v>0.015627044341053806</x:v>
      </x:c>
      <x:c r="J49" s="76" t="str">
        <x:v>DISCLOSED_COMPLETE</x:v>
      </x:c>
      <x:c r="K49" s="70" t="b">
        <x:v>1</x:v>
      </x:c>
      <x:c r="L49" s="30" t="str">
        <x:v>STD-688726-015</x:v>
      </x:c>
      <x:c r="M49" s="30" t="str">
        <x:v>EVT-688726-0018</x:v>
      </x:c>
      <x:c r="N49" s="30" t="str">
        <x:v>TRX-688726-0043</x:v>
      </x:c>
      <x:c r="O49" s="30" t="str">
        <x:v>CAPITAL_INCREASE_ENTRY</x:v>
      </x:c>
      <x:c r="P49" s="30" t="str">
        <x:v>ISSUER_LEVEL</x:v>
      </x:c>
      <x:c r="Q49" s="30" t="str">
        <x:v>DIRECT</x:v>
      </x:c>
      <x:c r="R49" s="30" t="str">
        <x:v>2022-12</x:v>
      </x:c>
      <x:c r="S49" s="30" t="str">
        <x:v>MONTH</x:v>
      </x:c>
      <x:c r="T49" s="30" t="str">
        <x:v>EVD-688726-0018</x:v>
      </x:c>
      <x:c r="U49" s="30" t="str">
        <x:v>WEEK11_PROSPECTUS_IDENTIFIED</x:v>
      </x:c>
      <x:c r="V49" s="30" t="str">
        <x:v>CONFIRMED</x:v>
      </x:c>
      <x:c r="W49" s="30" t="str">
        <x:v>WEEK8_SCHEMA_V1.0_DIRECT_REUSE_WITH_OBSERVATION_WINDOW_NOTE</x:v>
      </x:c>
      <x:c r="X49" s="30" t="str">
        <x:v>FINAL_APPROVED</x:v>
      </x:c>
    </x:row>
    <x:row r="50">
      <x:c r="A50" s="30" t="str">
        <x:v>PATH-688726-0046</x:v>
      </x:c>
      <x:c r="B50" s="30" t="str">
        <x:v>PATH-688726-0046-E01</x:v>
      </x:c>
      <x:c r="C50" s="30" t="n">
        <x:v>1</x:v>
      </x:c>
      <x:c r="D50" s="30" t="str">
        <x:v>688726</x:v>
      </x:c>
      <x:c r="E50" s="30" t="str">
        <x:v>STD-688726-013</x:v>
      </x:c>
      <x:c r="F50" s="30" t="str">
        <x:v>STD-688726-ISSUER</x:v>
      </x:c>
      <x:c r="G50" s="30" t="str">
        <x:v>CAPITAL_INCREASE</x:v>
      </x:c>
      <x:c r="H50" s="30" t="str">
        <x:v>CAPITAL_INCREASE</x:v>
      </x:c>
      <x:c r="I50" s="76" t="n">
        <x:v>0.009897140091646524</x:v>
      </x:c>
      <x:c r="J50" s="76" t="str">
        <x:v>DISCLOSED_COMPLETE</x:v>
      </x:c>
      <x:c r="K50" s="70" t="b">
        <x:v>1</x:v>
      </x:c>
      <x:c r="L50" s="30" t="str">
        <x:v>STD-688726-013</x:v>
      </x:c>
      <x:c r="M50" s="30" t="str">
        <x:v>EVT-688726-0018</x:v>
      </x:c>
      <x:c r="N50" s="30" t="str">
        <x:v>TRX-688726-0043</x:v>
      </x:c>
      <x:c r="O50" s="30" t="str">
        <x:v>CAPITAL_INCREASE_ENTRY</x:v>
      </x:c>
      <x:c r="P50" s="30" t="str">
        <x:v>ISSUER_LEVEL</x:v>
      </x:c>
      <x:c r="Q50" s="30" t="str">
        <x:v>DIRECT</x:v>
      </x:c>
      <x:c r="R50" s="30" t="str">
        <x:v>2022-12</x:v>
      </x:c>
      <x:c r="S50" s="30" t="str">
        <x:v>MONTH</x:v>
      </x:c>
      <x:c r="T50" s="30" t="str">
        <x:v>EVD-688726-0018</x:v>
      </x:c>
      <x:c r="U50" s="30" t="str">
        <x:v>WEEK11_PROSPECTUS_IDENTIFIED</x:v>
      </x:c>
      <x:c r="V50" s="30" t="str">
        <x:v>CONFIRMED</x:v>
      </x:c>
      <x:c r="W50" s="30" t="str">
        <x:v>WEEK8_SCHEMA_V1.0_DIRECT_REUSE_WITH_OBSERVATION_WINDOW_NOTE</x:v>
      </x:c>
      <x:c r="X50" s="30" t="str">
        <x:v>FINAL_APPROVED</x:v>
      </x:c>
    </x:row>
    <x:row r="51">
      <x:c r="A51" s="30" t="str">
        <x:v>PATH-688726-0047</x:v>
      </x:c>
      <x:c r="B51" s="30" t="str">
        <x:v>PATH-688726-0047-E01</x:v>
      </x:c>
      <x:c r="C51" s="30" t="n">
        <x:v>1</x:v>
      </x:c>
      <x:c r="D51" s="30" t="str">
        <x:v>688726</x:v>
      </x:c>
      <x:c r="E51" s="30" t="str">
        <x:v>STD-688726-042</x:v>
      </x:c>
      <x:c r="F51" s="30" t="str">
        <x:v>STD-688726-ISSUER</x:v>
      </x:c>
      <x:c r="G51" s="30" t="str">
        <x:v>CAPITAL_INCREASE</x:v>
      </x:c>
      <x:c r="H51" s="30" t="str">
        <x:v>CAPITAL_INCREASE</x:v>
      </x:c>
      <x:c r="I51" s="76" t="n">
        <x:v>0.006511268475439085</x:v>
      </x:c>
      <x:c r="J51" s="76" t="str">
        <x:v>DISCLOSED_COMPLETE</x:v>
      </x:c>
      <x:c r="K51" s="70" t="b">
        <x:v>1</x:v>
      </x:c>
      <x:c r="L51" s="30" t="str">
        <x:v>STD-688726-042</x:v>
      </x:c>
      <x:c r="M51" s="30" t="str">
        <x:v>EVT-688726-0018</x:v>
      </x:c>
      <x:c r="N51" s="30" t="str">
        <x:v>TRX-688726-0043</x:v>
      </x:c>
      <x:c r="O51" s="30" t="str">
        <x:v>CAPITAL_INCREASE_ENTRY</x:v>
      </x:c>
      <x:c r="P51" s="30" t="str">
        <x:v>ISSUER_LEVEL</x:v>
      </x:c>
      <x:c r="Q51" s="30" t="str">
        <x:v>DIRECT</x:v>
      </x:c>
      <x:c r="R51" s="30" t="str">
        <x:v>2022-12</x:v>
      </x:c>
      <x:c r="S51" s="30" t="str">
        <x:v>MONTH</x:v>
      </x:c>
      <x:c r="T51" s="30" t="str">
        <x:v>EVD-688726-0018</x:v>
      </x:c>
      <x:c r="U51" s="30" t="str">
        <x:v>WEEK11_PROSPECTUS_IDENTIFIED</x:v>
      </x:c>
      <x:c r="V51" s="30" t="str">
        <x:v>CONFIRMED</x:v>
      </x:c>
      <x:c r="W51" s="30" t="str">
        <x:v>WEEK8_SCHEMA_V1.0_DIRECT_REUSE_WITH_OBSERVATION_WINDOW_NOTE</x:v>
      </x:c>
      <x:c r="X51" s="30" t="str">
        <x:v>FINAL_APPROVED</x:v>
      </x:c>
    </x:row>
    <x:row r="52">
      <x:c r="A52" s="30" t="str">
        <x:v>PATH-688726-0048</x:v>
      </x:c>
      <x:c r="B52" s="30" t="str">
        <x:v>PATH-688726-0048-E01</x:v>
      </x:c>
      <x:c r="C52" s="30" t="n">
        <x:v>1</x:v>
      </x:c>
      <x:c r="D52" s="30" t="str">
        <x:v>688726</x:v>
      </x:c>
      <x:c r="E52" s="30" t="str">
        <x:v>STD-688726-056</x:v>
      </x:c>
      <x:c r="F52" s="30" t="str">
        <x:v>STD-688726-ISSUER</x:v>
      </x:c>
      <x:c r="G52" s="30" t="str">
        <x:v>CAPITAL_INCREASE</x:v>
      </x:c>
      <x:c r="H52" s="30" t="str">
        <x:v>CAPITAL_INCREASE</x:v>
      </x:c>
      <x:c r="I52" s="76" t="n">
        <x:v>0.006511268475439085</x:v>
      </x:c>
      <x:c r="J52" s="76" t="str">
        <x:v>DISCLOSED_COMPLETE</x:v>
      </x:c>
      <x:c r="K52" s="70" t="b">
        <x:v>1</x:v>
      </x:c>
      <x:c r="L52" s="30" t="str">
        <x:v>STD-688726-056</x:v>
      </x:c>
      <x:c r="M52" s="30" t="str">
        <x:v>EVT-688726-0018</x:v>
      </x:c>
      <x:c r="N52" s="30" t="str">
        <x:v>TRX-688726-0043</x:v>
      </x:c>
      <x:c r="O52" s="30" t="str">
        <x:v>CAPITAL_INCREASE_ENTRY</x:v>
      </x:c>
      <x:c r="P52" s="30" t="str">
        <x:v>ISSUER_LEVEL</x:v>
      </x:c>
      <x:c r="Q52" s="30" t="str">
        <x:v>DIRECT</x:v>
      </x:c>
      <x:c r="R52" s="30" t="str">
        <x:v>2022-12</x:v>
      </x:c>
      <x:c r="S52" s="30" t="str">
        <x:v>MONTH</x:v>
      </x:c>
      <x:c r="T52" s="30" t="str">
        <x:v>EVD-688726-0018</x:v>
      </x:c>
      <x:c r="U52" s="30" t="str">
        <x:v>WEEK11_PROSPECTUS_IDENTIFIED</x:v>
      </x:c>
      <x:c r="V52" s="30" t="str">
        <x:v>CONFIRMED</x:v>
      </x:c>
      <x:c r="W52" s="30" t="str">
        <x:v>WEEK8_SCHEMA_V1.0_DIRECT_REUSE_WITH_OBSERVATION_WINDOW_NOTE</x:v>
      </x:c>
      <x:c r="X52" s="30" t="str">
        <x:v>FINAL_APPROVED</x:v>
      </x:c>
    </x:row>
    <x:row r="53">
      <x:c r="A53" s="30" t="str">
        <x:v>PATH-688726-0049</x:v>
      </x:c>
      <x:c r="B53" s="30" t="str">
        <x:v>PATH-688726-0049-E01</x:v>
      </x:c>
      <x:c r="C53" s="30" t="n">
        <x:v>1</x:v>
      </x:c>
      <x:c r="D53" s="30" t="str">
        <x:v>688726</x:v>
      </x:c>
      <x:c r="E53" s="30" t="str">
        <x:v>STD-688726-034</x:v>
      </x:c>
      <x:c r="F53" s="30" t="str">
        <x:v>STD-688726-ISSUER</x:v>
      </x:c>
      <x:c r="G53" s="30" t="str">
        <x:v>CAPITAL_INCREASE</x:v>
      </x:c>
      <x:c r="H53" s="30" t="str">
        <x:v>CAPITAL_INCREASE</x:v>
      </x:c>
      <x:c r="I53" s="76" t="n">
        <x:v>0.006511268475439085</x:v>
      </x:c>
      <x:c r="J53" s="76" t="str">
        <x:v>DISCLOSED_COMPLETE</x:v>
      </x:c>
      <x:c r="K53" s="70" t="b">
        <x:v>1</x:v>
      </x:c>
      <x:c r="L53" s="30" t="str">
        <x:v>STD-688726-034</x:v>
      </x:c>
      <x:c r="M53" s="30" t="str">
        <x:v>EVT-688726-0018</x:v>
      </x:c>
      <x:c r="N53" s="30" t="str">
        <x:v>TRX-688726-0043</x:v>
      </x:c>
      <x:c r="O53" s="30" t="str">
        <x:v>CAPITAL_INCREASE_ENTRY</x:v>
      </x:c>
      <x:c r="P53" s="30" t="str">
        <x:v>ISSUER_LEVEL</x:v>
      </x:c>
      <x:c r="Q53" s="30" t="str">
        <x:v>DIRECT</x:v>
      </x:c>
      <x:c r="R53" s="30" t="str">
        <x:v>2022-12</x:v>
      </x:c>
      <x:c r="S53" s="30" t="str">
        <x:v>MONTH</x:v>
      </x:c>
      <x:c r="T53" s="30" t="str">
        <x:v>EVD-688726-0018</x:v>
      </x:c>
      <x:c r="U53" s="30" t="str">
        <x:v>WEEK11_PROSPECTUS_IDENTIFIED</x:v>
      </x:c>
      <x:c r="V53" s="30" t="str">
        <x:v>CONFIRMED</x:v>
      </x:c>
      <x:c r="W53" s="30" t="str">
        <x:v>WEEK8_SCHEMA_V1.0_DIRECT_REUSE_WITH_OBSERVATION_WINDOW_NOTE</x:v>
      </x:c>
      <x:c r="X53" s="30" t="str">
        <x:v>FINAL_APPROVED</x:v>
      </x:c>
    </x:row>
    <x:row r="54">
      <x:c r="A54" s="30" t="str">
        <x:v>PATH-688726-0050</x:v>
      </x:c>
      <x:c r="B54" s="30" t="str">
        <x:v>PATH-688726-0050-E01</x:v>
      </x:c>
      <x:c r="C54" s="30" t="n">
        <x:v>1</x:v>
      </x:c>
      <x:c r="D54" s="30" t="str">
        <x:v>688726</x:v>
      </x:c>
      <x:c r="E54" s="30" t="str">
        <x:v>STD-688726-054</x:v>
      </x:c>
      <x:c r="F54" s="30" t="str">
        <x:v>STD-688726-ISSUER</x:v>
      </x:c>
      <x:c r="G54" s="30" t="str">
        <x:v>CAPITAL_INCREASE</x:v>
      </x:c>
      <x:c r="H54" s="30" t="str">
        <x:v>CAPITAL_INCREASE</x:v>
      </x:c>
      <x:c r="I54" s="76" t="n">
        <x:v>0.005209014780351269</x:v>
      </x:c>
      <x:c r="J54" s="76" t="str">
        <x:v>DISCLOSED_COMPLETE</x:v>
      </x:c>
      <x:c r="K54" s="70" t="b">
        <x:v>1</x:v>
      </x:c>
      <x:c r="L54" s="30" t="str">
        <x:v>STD-688726-054</x:v>
      </x:c>
      <x:c r="M54" s="30" t="str">
        <x:v>EVT-688726-0018</x:v>
      </x:c>
      <x:c r="N54" s="30" t="str">
        <x:v>TRX-688726-0043</x:v>
      </x:c>
      <x:c r="O54" s="30" t="str">
        <x:v>CAPITAL_INCREASE_ENTRY</x:v>
      </x:c>
      <x:c r="P54" s="30" t="str">
        <x:v>ISSUER_LEVEL</x:v>
      </x:c>
      <x:c r="Q54" s="30" t="str">
        <x:v>DIRECT</x:v>
      </x:c>
      <x:c r="R54" s="30" t="str">
        <x:v>2022-12</x:v>
      </x:c>
      <x:c r="S54" s="30" t="str">
        <x:v>MONTH</x:v>
      </x:c>
      <x:c r="T54" s="30" t="str">
        <x:v>EVD-688726-0018</x:v>
      </x:c>
      <x:c r="U54" s="30" t="str">
        <x:v>WEEK11_PROSPECTUS_IDENTIFIED</x:v>
      </x:c>
      <x:c r="V54" s="30" t="str">
        <x:v>CONFIRMED</x:v>
      </x:c>
      <x:c r="W54" s="30" t="str">
        <x:v>WEEK8_SCHEMA_V1.0_DIRECT_REUSE_WITH_OBSERVATION_WINDOW_NOTE</x:v>
      </x:c>
      <x:c r="X54" s="30" t="str">
        <x:v>FINAL_APPROVED</x:v>
      </x:c>
    </x:row>
    <x:row r="55">
      <x:c r="A55" s="30" t="str">
        <x:v>PATH-688726-0051</x:v>
      </x:c>
      <x:c r="B55" s="30" t="str">
        <x:v>PATH-688726-0051-E01</x:v>
      </x:c>
      <x:c r="C55" s="30" t="n">
        <x:v>1</x:v>
      </x:c>
      <x:c r="D55" s="30" t="str">
        <x:v>688726</x:v>
      </x:c>
      <x:c r="E55" s="30" t="str">
        <x:v>STD-688726-071</x:v>
      </x:c>
      <x:c r="F55" s="30" t="str">
        <x:v>STD-688726-ISSUER</x:v>
      </x:c>
      <x:c r="G55" s="30" t="str">
        <x:v>CAPITAL_INCREASE</x:v>
      </x:c>
      <x:c r="H55" s="30" t="str">
        <x:v>CAPITAL_INCREASE</x:v>
      </x:c>
      <x:c r="I55" s="76" t="n">
        <x:v>0.005860141627895178</x:v>
      </x:c>
      <x:c r="J55" s="76" t="str">
        <x:v>DISCLOSED_COMPLETE</x:v>
      </x:c>
      <x:c r="K55" s="70" t="b">
        <x:v>1</x:v>
      </x:c>
      <x:c r="L55" s="30" t="str">
        <x:v>STD-688726-071</x:v>
      </x:c>
      <x:c r="M55" s="30" t="str">
        <x:v>EVT-688726-0018</x:v>
      </x:c>
      <x:c r="N55" s="30" t="str">
        <x:v>TRX-688726-0043</x:v>
      </x:c>
      <x:c r="O55" s="30" t="str">
        <x:v>CAPITAL_INCREASE_ENTRY</x:v>
      </x:c>
      <x:c r="P55" s="30" t="str">
        <x:v>ISSUER_LEVEL</x:v>
      </x:c>
      <x:c r="Q55" s="30" t="str">
        <x:v>DIRECT</x:v>
      </x:c>
      <x:c r="R55" s="30" t="str">
        <x:v>2022-12</x:v>
      </x:c>
      <x:c r="S55" s="30" t="str">
        <x:v>MONTH</x:v>
      </x:c>
      <x:c r="T55" s="30" t="str">
        <x:v>EVD-688726-0018</x:v>
      </x:c>
      <x:c r="U55" s="30" t="str">
        <x:v>WEEK11_PROSPECTUS_IDENTIFIED</x:v>
      </x:c>
      <x:c r="V55" s="30" t="str">
        <x:v>CONFIRMED</x:v>
      </x:c>
      <x:c r="W55" s="30" t="str">
        <x:v>WEEK8_SCHEMA_V1.0_DIRECT_REUSE_WITH_OBSERVATION_WINDOW_NOTE</x:v>
      </x:c>
      <x:c r="X55" s="30" t="str">
        <x:v>FINAL_APPROVED</x:v>
      </x:c>
    </x:row>
    <x:row r="56">
      <x:c r="A56" s="30" t="str">
        <x:v>PATH-688726-0052</x:v>
      </x:c>
      <x:c r="B56" s="30" t="str">
        <x:v>PATH-688726-0052-E01</x:v>
      </x:c>
      <x:c r="C56" s="30" t="n">
        <x:v>1</x:v>
      </x:c>
      <x:c r="D56" s="30" t="str">
        <x:v>688726</x:v>
      </x:c>
      <x:c r="E56" s="30" t="str">
        <x:v>STD-688726-052</x:v>
      </x:c>
      <x:c r="F56" s="30" t="str">
        <x:v>STD-688726-ISSUER</x:v>
      </x:c>
      <x:c r="G56" s="30" t="str">
        <x:v>CAPITAL_INCREASE</x:v>
      </x:c>
      <x:c r="H56" s="30" t="str">
        <x:v>CAPITAL_INCREASE</x:v>
      </x:c>
      <x:c r="I56" s="76" t="n">
        <x:v>0.004948540023375478</x:v>
      </x:c>
      <x:c r="J56" s="76" t="str">
        <x:v>DISCLOSED_COMPLETE</x:v>
      </x:c>
      <x:c r="K56" s="70" t="b">
        <x:v>1</x:v>
      </x:c>
      <x:c r="L56" s="30" t="str">
        <x:v>STD-688726-052</x:v>
      </x:c>
      <x:c r="M56" s="30" t="str">
        <x:v>EVT-688726-0018</x:v>
      </x:c>
      <x:c r="N56" s="30" t="str">
        <x:v>TRX-688726-0043</x:v>
      </x:c>
      <x:c r="O56" s="30" t="str">
        <x:v>CAPITAL_INCREASE_ENTRY</x:v>
      </x:c>
      <x:c r="P56" s="30" t="str">
        <x:v>ISSUER_LEVEL</x:v>
      </x:c>
      <x:c r="Q56" s="30" t="str">
        <x:v>DIRECT</x:v>
      </x:c>
      <x:c r="R56" s="30" t="str">
        <x:v>2022-12</x:v>
      </x:c>
      <x:c r="S56" s="30" t="str">
        <x:v>MONTH</x:v>
      </x:c>
      <x:c r="T56" s="30" t="str">
        <x:v>EVD-688726-0018</x:v>
      </x:c>
      <x:c r="U56" s="30" t="str">
        <x:v>WEEK11_PROSPECTUS_IDENTIFIED</x:v>
      </x:c>
      <x:c r="V56" s="30" t="str">
        <x:v>CONFIRMED</x:v>
      </x:c>
      <x:c r="W56" s="30" t="str">
        <x:v>WEEK8_SCHEMA_V1.0_DIRECT_REUSE_WITH_OBSERVATION_WINDOW_NOTE</x:v>
      </x:c>
      <x:c r="X56" s="30" t="str">
        <x:v>FINAL_APPROVED</x:v>
      </x:c>
    </x:row>
    <x:row r="57">
      <x:c r="A57" s="30" t="str">
        <x:v>PATH-688726-0053</x:v>
      </x:c>
      <x:c r="B57" s="30" t="str">
        <x:v>PATH-688726-0053-E01</x:v>
      </x:c>
      <x:c r="C57" s="30" t="n">
        <x:v>1</x:v>
      </x:c>
      <x:c r="D57" s="30" t="str">
        <x:v>688726</x:v>
      </x:c>
      <x:c r="E57" s="30" t="str">
        <x:v>STD-688726-017</x:v>
      </x:c>
      <x:c r="F57" s="30" t="str">
        <x:v>STD-688726-ISSUER</x:v>
      </x:c>
      <x:c r="G57" s="30" t="str">
        <x:v>CAPITAL_INCREASE</x:v>
      </x:c>
      <x:c r="H57" s="30" t="str">
        <x:v>CAPITAL_INCREASE</x:v>
      </x:c>
      <x:c r="I57" s="76" t="n">
        <x:v>0.00455788793280736</x:v>
      </x:c>
      <x:c r="J57" s="76" t="str">
        <x:v>DISCLOSED_COMPLETE</x:v>
      </x:c>
      <x:c r="K57" s="70" t="b">
        <x:v>1</x:v>
      </x:c>
      <x:c r="L57" s="30" t="str">
        <x:v>STD-688726-017</x:v>
      </x:c>
      <x:c r="M57" s="30" t="str">
        <x:v>EVT-688726-0018</x:v>
      </x:c>
      <x:c r="N57" s="30" t="str">
        <x:v>TRX-688726-0043</x:v>
      </x:c>
      <x:c r="O57" s="30" t="str">
        <x:v>CAPITAL_INCREASE_ENTRY</x:v>
      </x:c>
      <x:c r="P57" s="30" t="str">
        <x:v>ISSUER_LEVEL</x:v>
      </x:c>
      <x:c r="Q57" s="30" t="str">
        <x:v>DIRECT</x:v>
      </x:c>
      <x:c r="R57" s="30" t="str">
        <x:v>2022-12</x:v>
      </x:c>
      <x:c r="S57" s="30" t="str">
        <x:v>MONTH</x:v>
      </x:c>
      <x:c r="T57" s="30" t="str">
        <x:v>EVD-688726-0018</x:v>
      </x:c>
      <x:c r="U57" s="30" t="str">
        <x:v>WEEK11_PROSPECTUS_IDENTIFIED</x:v>
      </x:c>
      <x:c r="V57" s="30" t="str">
        <x:v>CONFIRMED</x:v>
      </x:c>
      <x:c r="W57" s="30" t="str">
        <x:v>WEEK8_SCHEMA_V1.0_DIRECT_REUSE_WITH_OBSERVATION_WINDOW_NOTE</x:v>
      </x:c>
      <x:c r="X57" s="30" t="str">
        <x:v>FINAL_APPROVED</x:v>
      </x:c>
    </x:row>
    <x:row r="58">
      <x:c r="A58" s="30" t="str">
        <x:v>PATH-688726-0054</x:v>
      </x:c>
      <x:c r="B58" s="30" t="str">
        <x:v>PATH-688726-0054-E01</x:v>
      </x:c>
      <x:c r="C58" s="30" t="n">
        <x:v>1</x:v>
      </x:c>
      <x:c r="D58" s="30" t="str">
        <x:v>688726</x:v>
      </x:c>
      <x:c r="E58" s="30" t="str">
        <x:v>STD-688726-011</x:v>
      </x:c>
      <x:c r="F58" s="30" t="str">
        <x:v>STD-688726-ISSUER</x:v>
      </x:c>
      <x:c r="G58" s="30" t="str">
        <x:v>CAPITAL_INCREASE</x:v>
      </x:c>
      <x:c r="H58" s="30" t="str">
        <x:v>CAPITAL_INCREASE</x:v>
      </x:c>
      <x:c r="I58" s="76" t="n">
        <x:v>0.003906761085263452</x:v>
      </x:c>
      <x:c r="J58" s="76" t="str">
        <x:v>DISCLOSED_COMPLETE</x:v>
      </x:c>
      <x:c r="K58" s="70" t="b">
        <x:v>1</x:v>
      </x:c>
      <x:c r="L58" s="30" t="str">
        <x:v>STD-688726-011</x:v>
      </x:c>
      <x:c r="M58" s="30" t="str">
        <x:v>EVT-688726-0018</x:v>
      </x:c>
      <x:c r="N58" s="30" t="str">
        <x:v>TRX-688726-0043</x:v>
      </x:c>
      <x:c r="O58" s="30" t="str">
        <x:v>CAPITAL_INCREASE_ENTRY</x:v>
      </x:c>
      <x:c r="P58" s="30" t="str">
        <x:v>ISSUER_LEVEL</x:v>
      </x:c>
      <x:c r="Q58" s="30" t="str">
        <x:v>DIRECT</x:v>
      </x:c>
      <x:c r="R58" s="30" t="str">
        <x:v>2022-12</x:v>
      </x:c>
      <x:c r="S58" s="30" t="str">
        <x:v>MONTH</x:v>
      </x:c>
      <x:c r="T58" s="30" t="str">
        <x:v>EVD-688726-0018</x:v>
      </x:c>
      <x:c r="U58" s="30" t="str">
        <x:v>WEEK11_PROSPECTUS_IDENTIFIED</x:v>
      </x:c>
      <x:c r="V58" s="30" t="str">
        <x:v>CONFIRMED</x:v>
      </x:c>
      <x:c r="W58" s="30" t="str">
        <x:v>WEEK8_SCHEMA_V1.0_DIRECT_REUSE_WITH_OBSERVATION_WINDOW_NOTE</x:v>
      </x:c>
      <x:c r="X58" s="30" t="str">
        <x:v>FINAL_APPROVED</x:v>
      </x:c>
    </x:row>
    <x:row r="59">
      <x:c r="A59" s="30" t="str">
        <x:v>PATH-688726-0055</x:v>
      </x:c>
      <x:c r="B59" s="30" t="str">
        <x:v>PATH-688726-0055-E01</x:v>
      </x:c>
      <x:c r="C59" s="30" t="n">
        <x:v>1</x:v>
      </x:c>
      <x:c r="D59" s="30" t="str">
        <x:v>688726</x:v>
      </x:c>
      <x:c r="E59" s="30" t="str">
        <x:v>STD-688726-073</x:v>
      </x:c>
      <x:c r="F59" s="30" t="str">
        <x:v>STD-688726-ISSUER</x:v>
      </x:c>
      <x:c r="G59" s="30" t="str">
        <x:v>CAPITAL_INCREASE</x:v>
      </x:c>
      <x:c r="H59" s="30" t="str">
        <x:v>CAPITAL_INCREASE</x:v>
      </x:c>
      <x:c r="I59" s="76" t="n">
        <x:v>0.003906761085263452</x:v>
      </x:c>
      <x:c r="J59" s="76" t="str">
        <x:v>DISCLOSED_COMPLETE</x:v>
      </x:c>
      <x:c r="K59" s="70" t="b">
        <x:v>1</x:v>
      </x:c>
      <x:c r="L59" s="30" t="str">
        <x:v>STD-688726-073</x:v>
      </x:c>
      <x:c r="M59" s="30" t="str">
        <x:v>EVT-688726-0018</x:v>
      </x:c>
      <x:c r="N59" s="30" t="str">
        <x:v>TRX-688726-0043</x:v>
      </x:c>
      <x:c r="O59" s="30" t="str">
        <x:v>CAPITAL_INCREASE_ENTRY</x:v>
      </x:c>
      <x:c r="P59" s="30" t="str">
        <x:v>ISSUER_LEVEL</x:v>
      </x:c>
      <x:c r="Q59" s="30" t="str">
        <x:v>DIRECT</x:v>
      </x:c>
      <x:c r="R59" s="30" t="str">
        <x:v>2022-12</x:v>
      </x:c>
      <x:c r="S59" s="30" t="str">
        <x:v>MONTH</x:v>
      </x:c>
      <x:c r="T59" s="30" t="str">
        <x:v>EVD-688726-0018</x:v>
      </x:c>
      <x:c r="U59" s="30" t="str">
        <x:v>WEEK11_PROSPECTUS_IDENTIFIED</x:v>
      </x:c>
      <x:c r="V59" s="30" t="str">
        <x:v>CONFIRMED</x:v>
      </x:c>
      <x:c r="W59" s="30" t="str">
        <x:v>WEEK8_SCHEMA_V1.0_DIRECT_REUSE_WITH_OBSERVATION_WINDOW_NOTE</x:v>
      </x:c>
      <x:c r="X59" s="30" t="str">
        <x:v>FINAL_APPROVED</x:v>
      </x:c>
    </x:row>
    <x:row r="60">
      <x:c r="A60" s="30" t="str">
        <x:v>PATH-688726-0056</x:v>
      </x:c>
      <x:c r="B60" s="30" t="str">
        <x:v>PATH-688726-0056-E01</x:v>
      </x:c>
      <x:c r="C60" s="30" t="n">
        <x:v>1</x:v>
      </x:c>
      <x:c r="D60" s="30" t="str">
        <x:v>688726</x:v>
      </x:c>
      <x:c r="E60" s="30" t="str">
        <x:v>STD-688726-035</x:v>
      </x:c>
      <x:c r="F60" s="30" t="str">
        <x:v>STD-688726-ISSUER</x:v>
      </x:c>
      <x:c r="G60" s="30" t="str">
        <x:v>CAPITAL_INCREASE</x:v>
      </x:c>
      <x:c r="H60" s="30" t="str">
        <x:v>CAPITAL_INCREASE</x:v>
      </x:c>
      <x:c r="I60" s="76" t="n">
        <x:v>0.0035811976614914974</x:v>
      </x:c>
      <x:c r="J60" s="76" t="str">
        <x:v>DISCLOSED_COMPLETE</x:v>
      </x:c>
      <x:c r="K60" s="70" t="b">
        <x:v>1</x:v>
      </x:c>
      <x:c r="L60" s="30" t="str">
        <x:v>STD-688726-035</x:v>
      </x:c>
      <x:c r="M60" s="30" t="str">
        <x:v>EVT-688726-0018</x:v>
      </x:c>
      <x:c r="N60" s="30" t="str">
        <x:v>TRX-688726-0043</x:v>
      </x:c>
      <x:c r="O60" s="30" t="str">
        <x:v>CAPITAL_INCREASE_ENTRY</x:v>
      </x:c>
      <x:c r="P60" s="30" t="str">
        <x:v>ISSUER_LEVEL</x:v>
      </x:c>
      <x:c r="Q60" s="30" t="str">
        <x:v>DIRECT</x:v>
      </x:c>
      <x:c r="R60" s="30" t="str">
        <x:v>2022-12</x:v>
      </x:c>
      <x:c r="S60" s="30" t="str">
        <x:v>MONTH</x:v>
      </x:c>
      <x:c r="T60" s="30" t="str">
        <x:v>EVD-688726-0018</x:v>
      </x:c>
      <x:c r="U60" s="30" t="str">
        <x:v>WEEK11_PROSPECTUS_IDENTIFIED</x:v>
      </x:c>
      <x:c r="V60" s="30" t="str">
        <x:v>CONFIRMED</x:v>
      </x:c>
      <x:c r="W60" s="30" t="str">
        <x:v>WEEK8_SCHEMA_V1.0_DIRECT_REUSE_WITH_OBSERVATION_WINDOW_NOTE</x:v>
      </x:c>
      <x:c r="X60" s="30" t="str">
        <x:v>FINAL_APPROVED</x:v>
      </x:c>
    </x:row>
    <x:row r="61">
      <x:c r="A61" s="30" t="str">
        <x:v>PATH-688726-0057</x:v>
      </x:c>
      <x:c r="B61" s="30" t="str">
        <x:v>PATH-688726-0057-E01</x:v>
      </x:c>
      <x:c r="C61" s="30" t="n">
        <x:v>1</x:v>
      </x:c>
      <x:c r="D61" s="30" t="str">
        <x:v>688726</x:v>
      </x:c>
      <x:c r="E61" s="30" t="str">
        <x:v>STD-688726-036</x:v>
      </x:c>
      <x:c r="F61" s="30" t="str">
        <x:v>STD-688726-ISSUER</x:v>
      </x:c>
      <x:c r="G61" s="30" t="str">
        <x:v>CAPITAL_INCREASE</x:v>
      </x:c>
      <x:c r="H61" s="30" t="str">
        <x:v>CAPITAL_INCREASE</x:v>
      </x:c>
      <x:c r="I61" s="76" t="n">
        <x:v>0.002930070813947589</x:v>
      </x:c>
      <x:c r="J61" s="76" t="str">
        <x:v>DISCLOSED_COMPLETE</x:v>
      </x:c>
      <x:c r="K61" s="70" t="b">
        <x:v>1</x:v>
      </x:c>
      <x:c r="L61" s="30" t="str">
        <x:v>STD-688726-036</x:v>
      </x:c>
      <x:c r="M61" s="30" t="str">
        <x:v>EVT-688726-0018</x:v>
      </x:c>
      <x:c r="N61" s="30" t="str">
        <x:v>TRX-688726-0043</x:v>
      </x:c>
      <x:c r="O61" s="30" t="str">
        <x:v>CAPITAL_INCREASE_ENTRY</x:v>
      </x:c>
      <x:c r="P61" s="30" t="str">
        <x:v>ISSUER_LEVEL</x:v>
      </x:c>
      <x:c r="Q61" s="30" t="str">
        <x:v>DIRECT</x:v>
      </x:c>
      <x:c r="R61" s="30" t="str">
        <x:v>2022-12</x:v>
      </x:c>
      <x:c r="S61" s="30" t="str">
        <x:v>MONTH</x:v>
      </x:c>
      <x:c r="T61" s="30" t="str">
        <x:v>EVD-688726-0018</x:v>
      </x:c>
      <x:c r="U61" s="30" t="str">
        <x:v>WEEK11_PROSPECTUS_IDENTIFIED</x:v>
      </x:c>
      <x:c r="V61" s="30" t="str">
        <x:v>CONFIRMED</x:v>
      </x:c>
      <x:c r="W61" s="30" t="str">
        <x:v>WEEK8_SCHEMA_V1.0_DIRECT_REUSE_WITH_OBSERVATION_WINDOW_NOTE</x:v>
      </x:c>
      <x:c r="X61" s="30" t="str">
        <x:v>FINAL_APPROVED</x:v>
      </x:c>
    </x:row>
    <x:row r="62">
      <x:c r="A62" s="30" t="str">
        <x:v>PATH-688726-0058</x:v>
      </x:c>
      <x:c r="B62" s="30" t="str">
        <x:v>PATH-688726-0058-E01</x:v>
      </x:c>
      <x:c r="C62" s="30" t="n">
        <x:v>1</x:v>
      </x:c>
      <x:c r="D62" s="30" t="str">
        <x:v>688726</x:v>
      </x:c>
      <x:c r="E62" s="30" t="str">
        <x:v>STD-688726-044</x:v>
      </x:c>
      <x:c r="F62" s="30" t="str">
        <x:v>STD-688726-ISSUER</x:v>
      </x:c>
      <x:c r="G62" s="30" t="str">
        <x:v>CAPITAL_INCREASE</x:v>
      </x:c>
      <x:c r="H62" s="30" t="str">
        <x:v>CAPITAL_INCREASE</x:v>
      </x:c>
      <x:c r="I62" s="76" t="n">
        <x:v>0.0026045073901756347</x:v>
      </x:c>
      <x:c r="J62" s="76" t="str">
        <x:v>DISCLOSED_COMPLETE</x:v>
      </x:c>
      <x:c r="K62" s="70" t="b">
        <x:v>1</x:v>
      </x:c>
      <x:c r="L62" s="30" t="str">
        <x:v>STD-688726-044</x:v>
      </x:c>
      <x:c r="M62" s="30" t="str">
        <x:v>EVT-688726-0018</x:v>
      </x:c>
      <x:c r="N62" s="30" t="str">
        <x:v>TRX-688726-0043</x:v>
      </x:c>
      <x:c r="O62" s="30" t="str">
        <x:v>CAPITAL_INCREASE_ENTRY</x:v>
      </x:c>
      <x:c r="P62" s="30" t="str">
        <x:v>ISSUER_LEVEL</x:v>
      </x:c>
      <x:c r="Q62" s="30" t="str">
        <x:v>DIRECT</x:v>
      </x:c>
      <x:c r="R62" s="30" t="str">
        <x:v>2022-12</x:v>
      </x:c>
      <x:c r="S62" s="30" t="str">
        <x:v>MONTH</x:v>
      </x:c>
      <x:c r="T62" s="30" t="str">
        <x:v>EVD-688726-0018</x:v>
      </x:c>
      <x:c r="U62" s="30" t="str">
        <x:v>WEEK11_PROSPECTUS_IDENTIFIED</x:v>
      </x:c>
      <x:c r="V62" s="30" t="str">
        <x:v>CONFIRMED</x:v>
      </x:c>
      <x:c r="W62" s="30" t="str">
        <x:v>WEEK8_SCHEMA_V1.0_DIRECT_REUSE_WITH_OBSERVATION_WINDOW_NOTE</x:v>
      </x:c>
      <x:c r="X62" s="30" t="str">
        <x:v>FINAL_APPROVED</x:v>
      </x:c>
    </x:row>
    <x:row r="63">
      <x:c r="A63" s="30" t="str">
        <x:v>PATH-688726-0059</x:v>
      </x:c>
      <x:c r="B63" s="30" t="str">
        <x:v>PATH-688726-0059-E01</x:v>
      </x:c>
      <x:c r="C63" s="30" t="n">
        <x:v>1</x:v>
      </x:c>
      <x:c r="D63" s="30" t="str">
        <x:v>688726</x:v>
      </x:c>
      <x:c r="E63" s="30" t="str">
        <x:v>STD-688726-077</x:v>
      </x:c>
      <x:c r="F63" s="30" t="str">
        <x:v>STD-688726-ISSUER</x:v>
      </x:c>
      <x:c r="G63" s="30" t="str">
        <x:v>CAPITAL_INCREASE</x:v>
      </x:c>
      <x:c r="H63" s="30" t="str">
        <x:v>CAPITAL_INCREASE</x:v>
      </x:c>
      <x:c r="I63" s="76" t="n">
        <x:v>0.0026045073901756347</x:v>
      </x:c>
      <x:c r="J63" s="76" t="str">
        <x:v>DISCLOSED_COMPLETE</x:v>
      </x:c>
      <x:c r="K63" s="70" t="b">
        <x:v>1</x:v>
      </x:c>
      <x:c r="L63" s="30" t="str">
        <x:v>STD-688726-077</x:v>
      </x:c>
      <x:c r="M63" s="30" t="str">
        <x:v>EVT-688726-0018</x:v>
      </x:c>
      <x:c r="N63" s="30" t="str">
        <x:v>TRX-688726-0043</x:v>
      </x:c>
      <x:c r="O63" s="30" t="str">
        <x:v>CAPITAL_INCREASE_ENTRY</x:v>
      </x:c>
      <x:c r="P63" s="30" t="str">
        <x:v>ISSUER_LEVEL</x:v>
      </x:c>
      <x:c r="Q63" s="30" t="str">
        <x:v>DIRECT</x:v>
      </x:c>
      <x:c r="R63" s="30" t="str">
        <x:v>2022-12</x:v>
      </x:c>
      <x:c r="S63" s="30" t="str">
        <x:v>MONTH</x:v>
      </x:c>
      <x:c r="T63" s="30" t="str">
        <x:v>EVD-688726-0018</x:v>
      </x:c>
      <x:c r="U63" s="30" t="str">
        <x:v>WEEK11_PROSPECTUS_IDENTIFIED</x:v>
      </x:c>
      <x:c r="V63" s="30" t="str">
        <x:v>CONFIRMED</x:v>
      </x:c>
      <x:c r="W63" s="30" t="str">
        <x:v>WEEK8_SCHEMA_V1.0_DIRECT_REUSE_WITH_OBSERVATION_WINDOW_NOTE</x:v>
      </x:c>
      <x:c r="X63" s="30" t="str">
        <x:v>FINAL_APPROVED</x:v>
      </x:c>
    </x:row>
    <x:row r="64">
      <x:c r="A64" s="30" t="str">
        <x:v>PATH-688726-0060</x:v>
      </x:c>
      <x:c r="B64" s="30" t="str">
        <x:v>PATH-688726-0060-E01</x:v>
      </x:c>
      <x:c r="C64" s="30" t="n">
        <x:v>1</x:v>
      </x:c>
      <x:c r="D64" s="30" t="str">
        <x:v>688726</x:v>
      </x:c>
      <x:c r="E64" s="30" t="str">
        <x:v>STD-688726-020</x:v>
      </x:c>
      <x:c r="F64" s="30" t="str">
        <x:v>STD-688726-ISSUER</x:v>
      </x:c>
      <x:c r="G64" s="30" t="str">
        <x:v>CAPITAL_INCREASE</x:v>
      </x:c>
      <x:c r="H64" s="30" t="str">
        <x:v>CAPITAL_INCREASE</x:v>
      </x:c>
      <x:c r="I64" s="76" t="n">
        <x:v>0.001953380542631726</x:v>
      </x:c>
      <x:c r="J64" s="76" t="str">
        <x:v>DISCLOSED_COMPLETE</x:v>
      </x:c>
      <x:c r="K64" s="70" t="b">
        <x:v>1</x:v>
      </x:c>
      <x:c r="L64" s="30" t="str">
        <x:v>STD-688726-020</x:v>
      </x:c>
      <x:c r="M64" s="30" t="str">
        <x:v>EVT-688726-0018</x:v>
      </x:c>
      <x:c r="N64" s="30" t="str">
        <x:v>TRX-688726-0043</x:v>
      </x:c>
      <x:c r="O64" s="30" t="str">
        <x:v>CAPITAL_INCREASE_ENTRY</x:v>
      </x:c>
      <x:c r="P64" s="30" t="str">
        <x:v>ISSUER_LEVEL</x:v>
      </x:c>
      <x:c r="Q64" s="30" t="str">
        <x:v>DIRECT</x:v>
      </x:c>
      <x:c r="R64" s="30" t="str">
        <x:v>2022-12</x:v>
      </x:c>
      <x:c r="S64" s="30" t="str">
        <x:v>MONTH</x:v>
      </x:c>
      <x:c r="T64" s="30" t="str">
        <x:v>EVD-688726-0018</x:v>
      </x:c>
      <x:c r="U64" s="30" t="str">
        <x:v>WEEK11_PROSPECTUS_IDENTIFIED</x:v>
      </x:c>
      <x:c r="V64" s="30" t="str">
        <x:v>CONFIRMED</x:v>
      </x:c>
      <x:c r="W64" s="30" t="str">
        <x:v>WEEK8_SCHEMA_V1.0_DIRECT_REUSE_WITH_OBSERVATION_WINDOW_NOTE</x:v>
      </x:c>
      <x:c r="X64" s="30" t="str">
        <x:v>FINAL_APPROVED</x:v>
      </x:c>
    </x:row>
    <x:row r="65">
      <x:c r="A65" s="30" t="str">
        <x:v>PATH-688726-0061</x:v>
      </x:c>
      <x:c r="B65" s="30" t="str">
        <x:v>PATH-688726-0061-E01</x:v>
      </x:c>
      <x:c r="C65" s="30" t="n">
        <x:v>1</x:v>
      </x:c>
      <x:c r="D65" s="30" t="str">
        <x:v>688726</x:v>
      </x:c>
      <x:c r="E65" s="30" t="str">
        <x:v>STD-688726-053</x:v>
      </x:c>
      <x:c r="F65" s="30" t="str">
        <x:v>STD-688726-ISSUER</x:v>
      </x:c>
      <x:c r="G65" s="30" t="str">
        <x:v>CAPITAL_INCREASE</x:v>
      </x:c>
      <x:c r="H65" s="30" t="str">
        <x:v>CAPITAL_INCREASE</x:v>
      </x:c>
      <x:c r="I65" s="76" t="n">
        <x:v>0.0013022536950878173</x:v>
      </x:c>
      <x:c r="J65" s="76" t="str">
        <x:v>DISCLOSED_COMPLETE</x:v>
      </x:c>
      <x:c r="K65" s="70" t="b">
        <x:v>1</x:v>
      </x:c>
      <x:c r="L65" s="30" t="str">
        <x:v>STD-688726-053</x:v>
      </x:c>
      <x:c r="M65" s="30" t="str">
        <x:v>EVT-688726-0018</x:v>
      </x:c>
      <x:c r="N65" s="30" t="str">
        <x:v>TRX-688726-0043</x:v>
      </x:c>
      <x:c r="O65" s="30" t="str">
        <x:v>CAPITAL_INCREASE_ENTRY</x:v>
      </x:c>
      <x:c r="P65" s="30" t="str">
        <x:v>ISSUER_LEVEL</x:v>
      </x:c>
      <x:c r="Q65" s="30" t="str">
        <x:v>DIRECT</x:v>
      </x:c>
      <x:c r="R65" s="30" t="str">
        <x:v>2022-12</x:v>
      </x:c>
      <x:c r="S65" s="30" t="str">
        <x:v>MONTH</x:v>
      </x:c>
      <x:c r="T65" s="30" t="str">
        <x:v>EVD-688726-0018</x:v>
      </x:c>
      <x:c r="U65" s="30" t="str">
        <x:v>WEEK11_PROSPECTUS_IDENTIFIED</x:v>
      </x:c>
      <x:c r="V65" s="30" t="str">
        <x:v>CONFIRMED</x:v>
      </x:c>
      <x:c r="W65" s="30" t="str">
        <x:v>WEEK8_SCHEMA_V1.0_DIRECT_REUSE_WITH_OBSERVATION_WINDOW_NOTE</x:v>
      </x:c>
      <x:c r="X65" s="30" t="str">
        <x:v>FINAL_APPROVED</x:v>
      </x:c>
    </x:row>
    <x:row r="66">
      <x:c r="A66" s="30" t="str">
        <x:v>PATH-688726-0062</x:v>
      </x:c>
      <x:c r="B66" s="30" t="str">
        <x:v>PATH-688726-0062-E01</x:v>
      </x:c>
      <x:c r="C66" s="30" t="n">
        <x:v>1</x:v>
      </x:c>
      <x:c r="D66" s="30" t="str">
        <x:v>688726</x:v>
      </x:c>
      <x:c r="E66" s="30" t="str">
        <x:v>STD-688726-038</x:v>
      </x:c>
      <x:c r="F66" s="30" t="str">
        <x:v>STD-688726-ISSUER</x:v>
      </x:c>
      <x:c r="G66" s="30" t="str">
        <x:v>CAPITAL_INCREASE</x:v>
      </x:c>
      <x:c r="H66" s="30" t="str">
        <x:v>CAPITAL_INCREASE</x:v>
      </x:c>
      <x:c r="I66" s="76" t="n">
        <x:v>0.013140500256076333</x:v>
      </x:c>
      <x:c r="J66" s="76" t="str">
        <x:v>DISCLOSED_COMPLETE</x:v>
      </x:c>
      <x:c r="K66" s="70" t="b">
        <x:v>1</x:v>
      </x:c>
      <x:c r="L66" s="30" t="str">
        <x:v>STD-688726-038</x:v>
      </x:c>
      <x:c r="M66" s="30" t="str">
        <x:v>EVT-688726-0020</x:v>
      </x:c>
      <x:c r="N66" s="30" t="str">
        <x:v>TRX-688726-0044</x:v>
      </x:c>
      <x:c r="O66" s="30" t="str">
        <x:v>CAPITAL_INCREASE_ENTRY</x:v>
      </x:c>
      <x:c r="P66" s="30" t="str">
        <x:v>ISSUER_LEVEL</x:v>
      </x:c>
      <x:c r="Q66" s="30" t="str">
        <x:v>DIRECT</x:v>
      </x:c>
      <x:c r="R66" s="30" t="str">
        <x:v>2022-12</x:v>
      </x:c>
      <x:c r="S66" s="30" t="str">
        <x:v>MONTH</x:v>
      </x:c>
      <x:c r="T66" s="30" t="str">
        <x:v>EVD-688726-0020</x:v>
      </x:c>
      <x:c r="U66" s="30" t="str">
        <x:v>WEEK11_PROSPECTUS_IDENTIFIED</x:v>
      </x:c>
      <x:c r="V66" s="30" t="str">
        <x:v>CONFIRMED</x:v>
      </x:c>
      <x:c r="W66" s="30" t="str">
        <x:v>WEEK8_SCHEMA_V1.0_DIRECT_REUSE_WITH_OBSERVATION_WINDOW_NOTE</x:v>
      </x:c>
      <x:c r="X66" s="30" t="str">
        <x:v>FINAL_APPROVED</x:v>
      </x:c>
    </x:row>
    <x:row r="67">
      <x:c r="A67" s="30" t="str">
        <x:v>PATH-688726-0063</x:v>
      </x:c>
      <x:c r="B67" s="30" t="str">
        <x:v>PATH-688726-0063-E01</x:v>
      </x:c>
      <x:c r="C67" s="30" t="n">
        <x:v>1</x:v>
      </x:c>
      <x:c r="D67" s="30" t="str">
        <x:v>688726</x:v>
      </x:c>
      <x:c r="E67" s="30" t="str">
        <x:v>STD-688726-019</x:v>
      </x:c>
      <x:c r="F67" s="30" t="str">
        <x:v>STD-688726-ISSUER</x:v>
      </x:c>
      <x:c r="G67" s="30" t="str">
        <x:v>TRANSFER</x:v>
      </x:c>
      <x:c r="H67" s="30" t="str">
        <x:v>TRANSFER</x:v>
      </x:c>
      <x:c r="I67" s="76" t="n">
        <x:v>0.0162</x:v>
      </x:c>
      <x:c r="J67" s="76" t="str">
        <x:v>DISCLOSED_COMPLETE</x:v>
      </x:c>
      <x:c r="K67" s="70" t="b">
        <x:v>1</x:v>
      </x:c>
      <x:c r="L67" s="30" t="str">
        <x:v>STD-688726-019</x:v>
      </x:c>
      <x:c r="M67" s="30" t="str">
        <x:v>EVT-688726-0002</x:v>
      </x:c>
      <x:c r="N67" s="30" t="str">
        <x:v>TRX-688726-0003</x:v>
      </x:c>
      <x:c r="O67" s="30" t="str">
        <x:v>TRANSFER_ENTRY</x:v>
      </x:c>
      <x:c r="P67" s="30" t="str">
        <x:v>ISSUER_LEVEL</x:v>
      </x:c>
      <x:c r="Q67" s="30" t="str">
        <x:v>DIRECT</x:v>
      </x:c>
      <x:c r="R67" s="30" t="str">
        <x:v>2020-10</x:v>
      </x:c>
      <x:c r="S67" s="30" t="str">
        <x:v>MONTH</x:v>
      </x:c>
      <x:c r="T67" s="30" t="str">
        <x:v>EVD-688726-0002</x:v>
      </x:c>
      <x:c r="U67" s="30" t="str">
        <x:v>WEEK11_PROSPECTUS_IDENTIFIED</x:v>
      </x:c>
      <x:c r="V67" s="30" t="str">
        <x:v>CONFIRMED</x:v>
      </x:c>
      <x:c r="W67" s="30" t="str">
        <x:v>WEEK8_SCHEMA_V1.0_DIRECT_REUSE_WITH_OBSERVATION_WINDOW_NOTE</x:v>
      </x:c>
      <x:c r="X67" s="30" t="str">
        <x:v>FINAL_APPROVED</x:v>
      </x:c>
    </x:row>
    <x:row r="68">
      <x:c r="A68" s="30" t="str">
        <x:v>PATH-688726-0064</x:v>
      </x:c>
      <x:c r="B68" s="30" t="str">
        <x:v>PATH-688726-0064-E01</x:v>
      </x:c>
      <x:c r="C68" s="30" t="n">
        <x:v>1</x:v>
      </x:c>
      <x:c r="D68" s="30" t="str">
        <x:v>688726</x:v>
      </x:c>
      <x:c r="E68" s="30" t="str">
        <x:v>STD-688726-064</x:v>
      </x:c>
      <x:c r="F68" s="30" t="str">
        <x:v>STD-688726-ISSUER</x:v>
      </x:c>
      <x:c r="G68" s="30" t="str">
        <x:v>TRANSFER</x:v>
      </x:c>
      <x:c r="H68" s="30" t="str">
        <x:v>TRANSFER</x:v>
      </x:c>
      <x:c r="I68" s="76" t="n">
        <x:v>0.0213</x:v>
      </x:c>
      <x:c r="J68" s="76" t="str">
        <x:v>DISCLOSED_COMPLETE</x:v>
      </x:c>
      <x:c r="K68" s="70" t="b">
        <x:v>1</x:v>
      </x:c>
      <x:c r="L68" s="30" t="str">
        <x:v>STD-688726-064</x:v>
      </x:c>
      <x:c r="M68" s="30" t="str">
        <x:v>EVT-688726-0005</x:v>
      </x:c>
      <x:c r="N68" s="30" t="str">
        <x:v>TRX-688726-0010</x:v>
      </x:c>
      <x:c r="O68" s="30" t="str">
        <x:v>TRANSFER_ENTRY</x:v>
      </x:c>
      <x:c r="P68" s="30" t="str">
        <x:v>ISSUER_LEVEL</x:v>
      </x:c>
      <x:c r="Q68" s="30" t="str">
        <x:v>DIRECT</x:v>
      </x:c>
      <x:c r="R68" s="30" t="str">
        <x:v>2021-06</x:v>
      </x:c>
      <x:c r="S68" s="30" t="str">
        <x:v>MONTH</x:v>
      </x:c>
      <x:c r="T68" s="30" t="str">
        <x:v>EVD-688726-0005</x:v>
      </x:c>
      <x:c r="U68" s="30" t="str">
        <x:v>WEEK11_PROSPECTUS_IDENTIFIED</x:v>
      </x:c>
      <x:c r="V68" s="30" t="str">
        <x:v>CONFIRMED</x:v>
      </x:c>
      <x:c r="W68" s="30" t="str">
        <x:v>WEEK8_SCHEMA_V1.0_DIRECT_REUSE_WITH_OBSERVATION_WINDOW_NOTE</x:v>
      </x:c>
      <x:c r="X68" s="30" t="str">
        <x:v>FINAL_APPROVED</x:v>
      </x:c>
    </x:row>
    <x:row r="69">
      <x:c r="A69" s="30" t="str">
        <x:v>PATH-688726-0065</x:v>
      </x:c>
      <x:c r="B69" s="30" t="str">
        <x:v>PATH-688726-0065-E01</x:v>
      </x:c>
      <x:c r="C69" s="30" t="n">
        <x:v>1</x:v>
      </x:c>
      <x:c r="D69" s="30" t="str">
        <x:v>688726</x:v>
      </x:c>
      <x:c r="E69" s="30" t="str">
        <x:v>STD-688726-059</x:v>
      </x:c>
      <x:c r="F69" s="30" t="str">
        <x:v>STD-688726-ISSUER</x:v>
      </x:c>
      <x:c r="G69" s="30" t="str">
        <x:v>TRANSFER</x:v>
      </x:c>
      <x:c r="H69" s="30" t="str">
        <x:v>TRANSFER</x:v>
      </x:c>
      <x:c r="I69" s="76" t="n">
        <x:v>0.0127</x:v>
      </x:c>
      <x:c r="J69" s="76" t="str">
        <x:v>DISCLOSED_COMPLETE</x:v>
      </x:c>
      <x:c r="K69" s="70" t="b">
        <x:v>1</x:v>
      </x:c>
      <x:c r="L69" s="30" t="str">
        <x:v>STD-688726-059</x:v>
      </x:c>
      <x:c r="M69" s="30" t="str">
        <x:v>EVT-688726-0005</x:v>
      </x:c>
      <x:c r="N69" s="30" t="str">
        <x:v>TRX-688726-0011</x:v>
      </x:c>
      <x:c r="O69" s="30" t="str">
        <x:v>TRANSFER_ENTRY</x:v>
      </x:c>
      <x:c r="P69" s="30" t="str">
        <x:v>ISSUER_LEVEL</x:v>
      </x:c>
      <x:c r="Q69" s="30" t="str">
        <x:v>DIRECT</x:v>
      </x:c>
      <x:c r="R69" s="30" t="str">
        <x:v>2021-06</x:v>
      </x:c>
      <x:c r="S69" s="30" t="str">
        <x:v>MONTH</x:v>
      </x:c>
      <x:c r="T69" s="30" t="str">
        <x:v>EVD-688726-0005</x:v>
      </x:c>
      <x:c r="U69" s="30" t="str">
        <x:v>WEEK11_PROSPECTUS_IDENTIFIED</x:v>
      </x:c>
      <x:c r="V69" s="30" t="str">
        <x:v>CONFIRMED</x:v>
      </x:c>
      <x:c r="W69" s="30" t="str">
        <x:v>WEEK8_SCHEMA_V1.0_DIRECT_REUSE_WITH_OBSERVATION_WINDOW_NOTE</x:v>
      </x:c>
      <x:c r="X69" s="30" t="str">
        <x:v>FINAL_APPROVED</x:v>
      </x:c>
    </x:row>
    <x:row r="70">
      <x:c r="A70" s="30" t="str">
        <x:v>PATH-688726-0066</x:v>
      </x:c>
      <x:c r="B70" s="30" t="str">
        <x:v>PATH-688726-0066-E01</x:v>
      </x:c>
      <x:c r="C70" s="30" t="n">
        <x:v>1</x:v>
      </x:c>
      <x:c r="D70" s="30" t="str">
        <x:v>688726</x:v>
      </x:c>
      <x:c r="E70" s="30" t="str">
        <x:v>STD-688726-018</x:v>
      </x:c>
      <x:c r="F70" s="30" t="str">
        <x:v>STD-688726-ISSUER</x:v>
      </x:c>
      <x:c r="G70" s="30" t="str">
        <x:v>TRANSFER</x:v>
      </x:c>
      <x:c r="H70" s="30" t="str">
        <x:v>TRANSFER</x:v>
      </x:c>
      <x:c r="I70" s="76" t="n">
        <x:v>0.0094</x:v>
      </x:c>
      <x:c r="J70" s="76" t="str">
        <x:v>DISCLOSED_COMPLETE</x:v>
      </x:c>
      <x:c r="K70" s="70" t="b">
        <x:v>1</x:v>
      </x:c>
      <x:c r="L70" s="30" t="str">
        <x:v>STD-688726-018</x:v>
      </x:c>
      <x:c r="M70" s="30" t="str">
        <x:v>EVT-688726-0007</x:v>
      </x:c>
      <x:c r="N70" s="30" t="str">
        <x:v>TRX-688726-0013</x:v>
      </x:c>
      <x:c r="O70" s="30" t="str">
        <x:v>TRANSFER_ENTRY</x:v>
      </x:c>
      <x:c r="P70" s="30" t="str">
        <x:v>ISSUER_LEVEL</x:v>
      </x:c>
      <x:c r="Q70" s="30" t="str">
        <x:v>DIRECT</x:v>
      </x:c>
      <x:c r="R70" s="30" t="str">
        <x:v>2021-10</x:v>
      </x:c>
      <x:c r="S70" s="30" t="str">
        <x:v>MONTH</x:v>
      </x:c>
      <x:c r="T70" s="30" t="str">
        <x:v>EVD-688726-0007</x:v>
      </x:c>
      <x:c r="U70" s="30" t="str">
        <x:v>WEEK11_PROSPECTUS_IDENTIFIED</x:v>
      </x:c>
      <x:c r="V70" s="30" t="str">
        <x:v>CONFIRMED</x:v>
      </x:c>
      <x:c r="W70" s="30" t="str">
        <x:v>WEEK8_SCHEMA_V1.0_DIRECT_REUSE_WITH_OBSERVATION_WINDOW_NOTE</x:v>
      </x:c>
      <x:c r="X70" s="30" t="str">
        <x:v>FINAL_APPROVED</x:v>
      </x:c>
    </x:row>
    <x:row r="71">
      <x:c r="A71" s="30" t="str">
        <x:v>PATH-688726-0067</x:v>
      </x:c>
      <x:c r="B71" s="30" t="str">
        <x:v>PATH-688726-0067-E01</x:v>
      </x:c>
      <x:c r="C71" s="30" t="n">
        <x:v>1</x:v>
      </x:c>
      <x:c r="D71" s="30" t="str">
        <x:v>688726</x:v>
      </x:c>
      <x:c r="E71" s="30" t="str">
        <x:v>STD-688726-072</x:v>
      </x:c>
      <x:c r="F71" s="30" t="str">
        <x:v>STD-688726-ISSUER</x:v>
      </x:c>
      <x:c r="G71" s="30" t="str">
        <x:v>TRANSFER</x:v>
      </x:c>
      <x:c r="H71" s="30" t="str">
        <x:v>TRANSFER</x:v>
      </x:c>
      <x:c r="I71" s="76" t="n">
        <x:v>0.0038</x:v>
      </x:c>
      <x:c r="J71" s="76" t="str">
        <x:v>DISCLOSED_COMPLETE</x:v>
      </x:c>
      <x:c r="K71" s="70" t="b">
        <x:v>1</x:v>
      </x:c>
      <x:c r="L71" s="30" t="str">
        <x:v>STD-688726-072</x:v>
      </x:c>
      <x:c r="M71" s="30" t="str">
        <x:v>EVT-688726-0007</x:v>
      </x:c>
      <x:c r="N71" s="30" t="str">
        <x:v>TRX-688726-0014</x:v>
      </x:c>
      <x:c r="O71" s="30" t="str">
        <x:v>TRANSFER_ENTRY</x:v>
      </x:c>
      <x:c r="P71" s="30" t="str">
        <x:v>ISSUER_LEVEL</x:v>
      </x:c>
      <x:c r="Q71" s="30" t="str">
        <x:v>DIRECT</x:v>
      </x:c>
      <x:c r="R71" s="30" t="str">
        <x:v>2021-10</x:v>
      </x:c>
      <x:c r="S71" s="30" t="str">
        <x:v>MONTH</x:v>
      </x:c>
      <x:c r="T71" s="30" t="str">
        <x:v>EVD-688726-0007</x:v>
      </x:c>
      <x:c r="U71" s="30" t="str">
        <x:v>WEEK11_PROSPECTUS_IDENTIFIED</x:v>
      </x:c>
      <x:c r="V71" s="30" t="str">
        <x:v>CONFIRMED</x:v>
      </x:c>
      <x:c r="W71" s="30" t="str">
        <x:v>WEEK8_SCHEMA_V1.0_DIRECT_REUSE_WITH_OBSERVATION_WINDOW_NOTE</x:v>
      </x:c>
      <x:c r="X71" s="30" t="str">
        <x:v>FINAL_APPROVED</x:v>
      </x:c>
    </x:row>
    <x:row r="72">
      <x:c r="A72" s="30" t="str">
        <x:v>PATH-688726-0068</x:v>
      </x:c>
      <x:c r="B72" s="30" t="str">
        <x:v>PATH-688726-0068-E01</x:v>
      </x:c>
      <x:c r="C72" s="30" t="n">
        <x:v>1</x:v>
      </x:c>
      <x:c r="D72" s="30" t="str">
        <x:v>688726</x:v>
      </x:c>
      <x:c r="E72" s="30" t="str">
        <x:v>STD-688726-037</x:v>
      </x:c>
      <x:c r="F72" s="30" t="str">
        <x:v>STD-688726-ISSUER</x:v>
      </x:c>
      <x:c r="G72" s="30" t="str">
        <x:v>TRANSFER</x:v>
      </x:c>
      <x:c r="H72" s="30" t="str">
        <x:v>TRANSFER</x:v>
      </x:c>
      <x:c r="I72" s="76" t="n">
        <x:v>0.0028</x:v>
      </x:c>
      <x:c r="J72" s="76" t="str">
        <x:v>DISCLOSED_COMPLETE</x:v>
      </x:c>
      <x:c r="K72" s="70" t="b">
        <x:v>1</x:v>
      </x:c>
      <x:c r="L72" s="30" t="str">
        <x:v>STD-688726-037</x:v>
      </x:c>
      <x:c r="M72" s="30" t="str">
        <x:v>EVT-688726-0007</x:v>
      </x:c>
      <x:c r="N72" s="30" t="str">
        <x:v>TRX-688726-0015</x:v>
      </x:c>
      <x:c r="O72" s="30" t="str">
        <x:v>TRANSFER_ENTRY</x:v>
      </x:c>
      <x:c r="P72" s="30" t="str">
        <x:v>ISSUER_LEVEL</x:v>
      </x:c>
      <x:c r="Q72" s="30" t="str">
        <x:v>DIRECT</x:v>
      </x:c>
      <x:c r="R72" s="30" t="str">
        <x:v>2021-10</x:v>
      </x:c>
      <x:c r="S72" s="30" t="str">
        <x:v>MONTH</x:v>
      </x:c>
      <x:c r="T72" s="30" t="str">
        <x:v>EVD-688726-0007</x:v>
      </x:c>
      <x:c r="U72" s="30" t="str">
        <x:v>WEEK11_PROSPECTUS_IDENTIFIED</x:v>
      </x:c>
      <x:c r="V72" s="30" t="str">
        <x:v>CONFIRMED</x:v>
      </x:c>
      <x:c r="W72" s="30" t="str">
        <x:v>WEEK8_SCHEMA_V1.0_DIRECT_REUSE_WITH_OBSERVATION_WINDOW_NOTE</x:v>
      </x:c>
      <x:c r="X72" s="30" t="str">
        <x:v>FINAL_APPROVED</x:v>
      </x:c>
    </x:row>
    <x:row r="73">
      <x:c r="A73" s="30" t="str">
        <x:v>PATH-688726-0069</x:v>
      </x:c>
      <x:c r="B73" s="30" t="str">
        <x:v>PATH-688726-0069-E01</x:v>
      </x:c>
      <x:c r="C73" s="30" t="n">
        <x:v>1</x:v>
      </x:c>
      <x:c r="D73" s="30" t="str">
        <x:v>688726</x:v>
      </x:c>
      <x:c r="E73" s="30" t="str">
        <x:v>STD-688726-050</x:v>
      </x:c>
      <x:c r="F73" s="30" t="str">
        <x:v>STD-688726-ISSUER</x:v>
      </x:c>
      <x:c r="G73" s="30" t="str">
        <x:v>TRANSFER</x:v>
      </x:c>
      <x:c r="H73" s="30" t="str">
        <x:v>TRANSFER</x:v>
      </x:c>
      <x:c r="I73" s="76" t="n">
        <x:v>0.0052</x:v>
      </x:c>
      <x:c r="J73" s="76" t="str">
        <x:v>DISCLOSED_COMPLETE</x:v>
      </x:c>
      <x:c r="K73" s="70" t="b">
        <x:v>1</x:v>
      </x:c>
      <x:c r="L73" s="30" t="str">
        <x:v>STD-688726-050</x:v>
      </x:c>
      <x:c r="M73" s="30" t="str">
        <x:v>EVT-688726-0007</x:v>
      </x:c>
      <x:c r="N73" s="30" t="str">
        <x:v>TRX-688726-0016</x:v>
      </x:c>
      <x:c r="O73" s="30" t="str">
        <x:v>TRANSFER_ENTRY</x:v>
      </x:c>
      <x:c r="P73" s="30" t="str">
        <x:v>ISSUER_LEVEL</x:v>
      </x:c>
      <x:c r="Q73" s="30" t="str">
        <x:v>DIRECT</x:v>
      </x:c>
      <x:c r="R73" s="30" t="str">
        <x:v>2021-10</x:v>
      </x:c>
      <x:c r="S73" s="30" t="str">
        <x:v>MONTH</x:v>
      </x:c>
      <x:c r="T73" s="30" t="str">
        <x:v>EVD-688726-0007</x:v>
      </x:c>
      <x:c r="U73" s="30" t="str">
        <x:v>WEEK11_PROSPECTUS_IDENTIFIED</x:v>
      </x:c>
      <x:c r="V73" s="30" t="str">
        <x:v>CONFIRMED</x:v>
      </x:c>
      <x:c r="W73" s="30" t="str">
        <x:v>WEEK8_SCHEMA_V1.0_DIRECT_REUSE_WITH_OBSERVATION_WINDOW_NOTE</x:v>
      </x:c>
      <x:c r="X73" s="30" t="str">
        <x:v>FINAL_APPROVED</x:v>
      </x:c>
    </x:row>
    <x:row r="74">
      <x:c r="A74" s="30" t="str">
        <x:v>PATH-688726-0070</x:v>
      </x:c>
      <x:c r="B74" s="30" t="str">
        <x:v>PATH-688726-0070-E01</x:v>
      </x:c>
      <x:c r="C74" s="30" t="n">
        <x:v>1</x:v>
      </x:c>
      <x:c r="D74" s="30" t="str">
        <x:v>688726</x:v>
      </x:c>
      <x:c r="E74" s="30" t="str">
        <x:v>STD-688726-022</x:v>
      </x:c>
      <x:c r="F74" s="30" t="str">
        <x:v>STD-688726-ISSUER</x:v>
      </x:c>
      <x:c r="G74" s="30" t="str">
        <x:v>TRANSFER</x:v>
      </x:c>
      <x:c r="H74" s="30" t="str">
        <x:v>TRANSFER</x:v>
      </x:c>
      <x:c r="I74" s="76" t="n">
        <x:v>0.01</x:v>
      </x:c>
      <x:c r="J74" s="76" t="str">
        <x:v>DISCLOSED_COMPLETE</x:v>
      </x:c>
      <x:c r="K74" s="70" t="b">
        <x:v>1</x:v>
      </x:c>
      <x:c r="L74" s="30" t="str">
        <x:v>STD-688726-022</x:v>
      </x:c>
      <x:c r="M74" s="30" t="str">
        <x:v>EVT-688726-0008</x:v>
      </x:c>
      <x:c r="N74" s="30" t="str">
        <x:v>TRX-688726-0018</x:v>
      </x:c>
      <x:c r="O74" s="30" t="str">
        <x:v>TRANSFER_ENTRY</x:v>
      </x:c>
      <x:c r="P74" s="30" t="str">
        <x:v>ISSUER_LEVEL</x:v>
      </x:c>
      <x:c r="Q74" s="30" t="str">
        <x:v>DIRECT</x:v>
      </x:c>
      <x:c r="R74" s="30" t="str">
        <x:v>2021-12</x:v>
      </x:c>
      <x:c r="S74" s="30" t="str">
        <x:v>MONTH</x:v>
      </x:c>
      <x:c r="T74" s="30" t="str">
        <x:v>EVD-688726-0008</x:v>
      </x:c>
      <x:c r="U74" s="30" t="str">
        <x:v>WEEK11_PROSPECTUS_IDENTIFIED</x:v>
      </x:c>
      <x:c r="V74" s="30" t="str">
        <x:v>CONFIRMED</x:v>
      </x:c>
      <x:c r="W74" s="30" t="str">
        <x:v>WEEK8_SCHEMA_V1.0_DIRECT_REUSE_WITH_OBSERVATION_WINDOW_NOTE</x:v>
      </x:c>
      <x:c r="X74" s="30" t="str">
        <x:v>FINAL_APPROVED</x:v>
      </x:c>
    </x:row>
    <x:row r="75">
      <x:c r="A75" s="30" t="str">
        <x:v>PATH-688726-0071</x:v>
      </x:c>
      <x:c r="B75" s="30" t="str">
        <x:v>PATH-688726-0071-E01</x:v>
      </x:c>
      <x:c r="C75" s="30" t="n">
        <x:v>1</x:v>
      </x:c>
      <x:c r="D75" s="30" t="str">
        <x:v>688726</x:v>
      </x:c>
      <x:c r="E75" s="30" t="str">
        <x:v>STD-688726-028</x:v>
      </x:c>
      <x:c r="F75" s="30" t="str">
        <x:v>STD-688726-ISSUER</x:v>
      </x:c>
      <x:c r="G75" s="30" t="str">
        <x:v>TRANSFER</x:v>
      </x:c>
      <x:c r="H75" s="30" t="str">
        <x:v>TRANSFER</x:v>
      </x:c>
      <x:c r="I75" s="76" t="n">
        <x:v>0.0066</x:v>
      </x:c>
      <x:c r="J75" s="76" t="str">
        <x:v>DISCLOSED_COMPLETE</x:v>
      </x:c>
      <x:c r="K75" s="70" t="b">
        <x:v>1</x:v>
      </x:c>
      <x:c r="L75" s="30" t="str">
        <x:v>STD-688726-028</x:v>
      </x:c>
      <x:c r="M75" s="30" t="str">
        <x:v>EVT-688726-0010</x:v>
      </x:c>
      <x:c r="N75" s="30" t="str">
        <x:v>TRX-688726-0020</x:v>
      </x:c>
      <x:c r="O75" s="30" t="str">
        <x:v>TRANSFER_ENTRY</x:v>
      </x:c>
      <x:c r="P75" s="30" t="str">
        <x:v>ISSUER_LEVEL</x:v>
      </x:c>
      <x:c r="Q75" s="30" t="str">
        <x:v>DIRECT</x:v>
      </x:c>
      <x:c r="R75" s="30" t="str">
        <x:v>2022-04</x:v>
      </x:c>
      <x:c r="S75" s="30" t="str">
        <x:v>MONTH</x:v>
      </x:c>
      <x:c r="T75" s="30" t="str">
        <x:v>EVD-688726-0010</x:v>
      </x:c>
      <x:c r="U75" s="30" t="str">
        <x:v>WEEK11_PROSPECTUS_IDENTIFIED</x:v>
      </x:c>
      <x:c r="V75" s="30" t="str">
        <x:v>CONFIRMED</x:v>
      </x:c>
      <x:c r="W75" s="30" t="str">
        <x:v>WEEK8_SCHEMA_V1.0_DIRECT_REUSE_WITH_OBSERVATION_WINDOW_NOTE</x:v>
      </x:c>
      <x:c r="X75" s="30" t="str">
        <x:v>FINAL_APPROVED</x:v>
      </x:c>
    </x:row>
    <x:row r="76">
      <x:c r="A76" s="30" t="str">
        <x:v>PATH-688726-0072</x:v>
      </x:c>
      <x:c r="B76" s="30" t="str">
        <x:v>PATH-688726-0072-E01</x:v>
      </x:c>
      <x:c r="C76" s="30" t="n">
        <x:v>1</x:v>
      </x:c>
      <x:c r="D76" s="30" t="str">
        <x:v>688726</x:v>
      </x:c>
      <x:c r="E76" s="30" t="str">
        <x:v>STD-688726-004</x:v>
      </x:c>
      <x:c r="F76" s="30" t="str">
        <x:v>STD-688726-ISSUER</x:v>
      </x:c>
      <x:c r="G76" s="30" t="str">
        <x:v>TRANSFER</x:v>
      </x:c>
      <x:c r="H76" s="30" t="str">
        <x:v>TRANSFER</x:v>
      </x:c>
      <x:c r="I76" s="76" t="n">
        <x:v>0.0288</x:v>
      </x:c>
      <x:c r="J76" s="76" t="str">
        <x:v>DISCLOSED_COMPLETE</x:v>
      </x:c>
      <x:c r="K76" s="70" t="b">
        <x:v>1</x:v>
      </x:c>
      <x:c r="L76" s="30" t="str">
        <x:v>STD-688726-004</x:v>
      </x:c>
      <x:c r="M76" s="30" t="str">
        <x:v>EVT-688726-0010</x:v>
      </x:c>
      <x:c r="N76" s="30" t="str">
        <x:v>TRX-688726-0022</x:v>
      </x:c>
      <x:c r="O76" s="30" t="str">
        <x:v>TRANSFER_ENTRY</x:v>
      </x:c>
      <x:c r="P76" s="30" t="str">
        <x:v>ISSUER_LEVEL</x:v>
      </x:c>
      <x:c r="Q76" s="30" t="str">
        <x:v>DIRECT</x:v>
      </x:c>
      <x:c r="R76" s="30" t="str">
        <x:v>2022-04</x:v>
      </x:c>
      <x:c r="S76" s="30" t="str">
        <x:v>MONTH</x:v>
      </x:c>
      <x:c r="T76" s="30" t="str">
        <x:v>EVD-688726-0010</x:v>
      </x:c>
      <x:c r="U76" s="30" t="str">
        <x:v>WEEK11_PROSPECTUS_IDENTIFIED</x:v>
      </x:c>
      <x:c r="V76" s="30" t="str">
        <x:v>CONFIRMED</x:v>
      </x:c>
      <x:c r="W76" s="30" t="str">
        <x:v>WEEK8_SCHEMA_V1.0_DIRECT_REUSE_WITH_OBSERVATION_WINDOW_NOTE</x:v>
      </x:c>
      <x:c r="X76" s="30" t="str">
        <x:v>FINAL_APPROVED</x:v>
      </x:c>
    </x:row>
    <x:row r="77">
      <x:c r="A77" s="30" t="str">
        <x:v>PATH-688726-0073</x:v>
      </x:c>
      <x:c r="B77" s="30" t="str">
        <x:v>PATH-688726-0073-E01</x:v>
      </x:c>
      <x:c r="C77" s="30" t="n">
        <x:v>1</x:v>
      </x:c>
      <x:c r="D77" s="30" t="str">
        <x:v>688726</x:v>
      </x:c>
      <x:c r="E77" s="30" t="str">
        <x:v>STD-688726-051</x:v>
      </x:c>
      <x:c r="F77" s="30" t="str">
        <x:v>STD-688726-ISSUER</x:v>
      </x:c>
      <x:c r="G77" s="30" t="str">
        <x:v>TRANSFER</x:v>
      </x:c>
      <x:c r="H77" s="30" t="str">
        <x:v>TRANSFER</x:v>
      </x:c>
      <x:c r="I77" s="76" t="n">
        <x:v>0.0044</x:v>
      </x:c>
      <x:c r="J77" s="76" t="str">
        <x:v>DISCLOSED_COMPLETE</x:v>
      </x:c>
      <x:c r="K77" s="70" t="b">
        <x:v>1</x:v>
      </x:c>
      <x:c r="L77" s="30" t="str">
        <x:v>STD-688726-051</x:v>
      </x:c>
      <x:c r="M77" s="30" t="str">
        <x:v>EVT-688726-0011</x:v>
      </x:c>
      <x:c r="N77" s="30" t="str">
        <x:v>TRX-688726-0023</x:v>
      </x:c>
      <x:c r="O77" s="30" t="str">
        <x:v>TRANSFER_ENTRY</x:v>
      </x:c>
      <x:c r="P77" s="30" t="str">
        <x:v>ISSUER_LEVEL</x:v>
      </x:c>
      <x:c r="Q77" s="30" t="str">
        <x:v>DIRECT</x:v>
      </x:c>
      <x:c r="R77" s="30" t="str">
        <x:v>2022-05</x:v>
      </x:c>
      <x:c r="S77" s="30" t="str">
        <x:v>MONTH</x:v>
      </x:c>
      <x:c r="T77" s="30" t="str">
        <x:v>EVD-688726-0011</x:v>
      </x:c>
      <x:c r="U77" s="30" t="str">
        <x:v>WEEK11_PROSPECTUS_IDENTIFIED</x:v>
      </x:c>
      <x:c r="V77" s="30" t="str">
        <x:v>CONFIRMED</x:v>
      </x:c>
      <x:c r="W77" s="30" t="str">
        <x:v>WEEK8_SCHEMA_V1.0_DIRECT_REUSE_WITH_OBSERVATION_WINDOW_NOTE</x:v>
      </x:c>
      <x:c r="X77" s="30" t="str">
        <x:v>FINAL_APPROVED</x:v>
      </x:c>
    </x:row>
    <x:row r="78">
      <x:c r="A78" s="30" t="str">
        <x:v>PATH-688726-0074</x:v>
      </x:c>
      <x:c r="B78" s="30" t="str">
        <x:v>PATH-688726-0074-E01</x:v>
      </x:c>
      <x:c r="C78" s="30" t="n">
        <x:v>1</x:v>
      </x:c>
      <x:c r="D78" s="30" t="str">
        <x:v>688726</x:v>
      </x:c>
      <x:c r="E78" s="30" t="str">
        <x:v>STD-688726-069</x:v>
      </x:c>
      <x:c r="F78" s="30" t="str">
        <x:v>STD-688726-ISSUER</x:v>
      </x:c>
      <x:c r="G78" s="30" t="str">
        <x:v>TRANSFER</x:v>
      </x:c>
      <x:c r="H78" s="30" t="str">
        <x:v>TRANSFER</x:v>
      </x:c>
      <x:c r="I78" s="76" t="n">
        <x:v>0.0058</x:v>
      </x:c>
      <x:c r="J78" s="76" t="str">
        <x:v>DISCLOSED_COMPLETE</x:v>
      </x:c>
      <x:c r="K78" s="70" t="b">
        <x:v>1</x:v>
      </x:c>
      <x:c r="L78" s="30" t="str">
        <x:v>STD-688726-069</x:v>
      </x:c>
      <x:c r="M78" s="30" t="str">
        <x:v>EVT-688726-0011</x:v>
      </x:c>
      <x:c r="N78" s="30" t="str">
        <x:v>TRX-688726-0024</x:v>
      </x:c>
      <x:c r="O78" s="30" t="str">
        <x:v>TRANSFER_ENTRY</x:v>
      </x:c>
      <x:c r="P78" s="30" t="str">
        <x:v>ISSUER_LEVEL</x:v>
      </x:c>
      <x:c r="Q78" s="30" t="str">
        <x:v>DIRECT</x:v>
      </x:c>
      <x:c r="R78" s="30" t="str">
        <x:v>2022-05</x:v>
      </x:c>
      <x:c r="S78" s="30" t="str">
        <x:v>MONTH</x:v>
      </x:c>
      <x:c r="T78" s="30" t="str">
        <x:v>EVD-688726-0011</x:v>
      </x:c>
      <x:c r="U78" s="30" t="str">
        <x:v>WEEK11_PROSPECTUS_IDENTIFIED</x:v>
      </x:c>
      <x:c r="V78" s="30" t="str">
        <x:v>CONFIRMED</x:v>
      </x:c>
      <x:c r="W78" s="30" t="str">
        <x:v>WEEK8_SCHEMA_V1.0_DIRECT_REUSE_WITH_OBSERVATION_WINDOW_NOTE</x:v>
      </x:c>
      <x:c r="X78" s="30" t="str">
        <x:v>FINAL_APPROVED</x:v>
      </x:c>
    </x:row>
    <x:row r="79">
      <x:c r="A79" s="30" t="str">
        <x:v>PATH-688726-0075</x:v>
      </x:c>
      <x:c r="B79" s="30" t="str">
        <x:v>PATH-688726-0075-E01</x:v>
      </x:c>
      <x:c r="C79" s="30" t="n">
        <x:v>1</x:v>
      </x:c>
      <x:c r="D79" s="30" t="str">
        <x:v>688726</x:v>
      </x:c>
      <x:c r="E79" s="30" t="str">
        <x:v>STD-688726-062</x:v>
      </x:c>
      <x:c r="F79" s="30" t="str">
        <x:v>STD-688726-ISSUER</x:v>
      </x:c>
      <x:c r="G79" s="30" t="str">
        <x:v>TRANSFER</x:v>
      </x:c>
      <x:c r="H79" s="30" t="str">
        <x:v>TRANSFER</x:v>
      </x:c>
      <x:c r="I79" s="76" t="n">
        <x:v>0.0025</x:v>
      </x:c>
      <x:c r="J79" s="76" t="str">
        <x:v>DISCLOSED_COMPLETE</x:v>
      </x:c>
      <x:c r="K79" s="70" t="b">
        <x:v>1</x:v>
      </x:c>
      <x:c r="L79" s="30" t="str">
        <x:v>STD-688726-062</x:v>
      </x:c>
      <x:c r="M79" s="30" t="str">
        <x:v>EVT-688726-0012</x:v>
      </x:c>
      <x:c r="N79" s="30" t="str">
        <x:v>TRX-688726-0025</x:v>
      </x:c>
      <x:c r="O79" s="30" t="str">
        <x:v>TRANSFER_ENTRY</x:v>
      </x:c>
      <x:c r="P79" s="30" t="str">
        <x:v>ISSUER_LEVEL</x:v>
      </x:c>
      <x:c r="Q79" s="30" t="str">
        <x:v>DIRECT</x:v>
      </x:c>
      <x:c r="R79" s="30" t="str">
        <x:v>2022-05</x:v>
      </x:c>
      <x:c r="S79" s="30" t="str">
        <x:v>MONTH</x:v>
      </x:c>
      <x:c r="T79" s="30" t="str">
        <x:v>EVD-688726-0012</x:v>
      </x:c>
      <x:c r="U79" s="30" t="str">
        <x:v>WEEK11_PROSPECTUS_IDENTIFIED</x:v>
      </x:c>
      <x:c r="V79" s="30" t="str">
        <x:v>CONFIRMED</x:v>
      </x:c>
      <x:c r="W79" s="30" t="str">
        <x:v>WEEK8_SCHEMA_V1.0_DIRECT_REUSE_WITH_OBSERVATION_WINDOW_NOTE</x:v>
      </x:c>
      <x:c r="X79" s="30" t="str">
        <x:v>FINAL_APPROVED</x:v>
      </x:c>
    </x:row>
    <x:row r="80">
      <x:c r="A80" s="30" t="str">
        <x:v>PATH-688726-0076</x:v>
      </x:c>
      <x:c r="B80" s="30" t="str">
        <x:v>PATH-688726-0076-E01</x:v>
      </x:c>
      <x:c r="C80" s="30" t="n">
        <x:v>1</x:v>
      </x:c>
      <x:c r="D80" s="30" t="str">
        <x:v>688726</x:v>
      </x:c>
      <x:c r="E80" s="30" t="str">
        <x:v>STD-688726-029</x:v>
      </x:c>
      <x:c r="F80" s="30" t="str">
        <x:v>STD-688726-ISSUER</x:v>
      </x:c>
      <x:c r="G80" s="30" t="str">
        <x:v>TRANSFER</x:v>
      </x:c>
      <x:c r="H80" s="30" t="str">
        <x:v>TRANSFER</x:v>
      </x:c>
      <x:c r="I80" s="76" t="n">
        <x:v>0.0025</x:v>
      </x:c>
      <x:c r="J80" s="76" t="str">
        <x:v>DISCLOSED_COMPLETE</x:v>
      </x:c>
      <x:c r="K80" s="70" t="b">
        <x:v>1</x:v>
      </x:c>
      <x:c r="L80" s="30" t="str">
        <x:v>STD-688726-029</x:v>
      </x:c>
      <x:c r="M80" s="30" t="str">
        <x:v>EVT-688726-0012</x:v>
      </x:c>
      <x:c r="N80" s="30" t="str">
        <x:v>TRX-688726-0026</x:v>
      </x:c>
      <x:c r="O80" s="30" t="str">
        <x:v>TRANSFER_ENTRY</x:v>
      </x:c>
      <x:c r="P80" s="30" t="str">
        <x:v>ISSUER_LEVEL</x:v>
      </x:c>
      <x:c r="Q80" s="30" t="str">
        <x:v>DIRECT</x:v>
      </x:c>
      <x:c r="R80" s="30" t="str">
        <x:v>2022-05</x:v>
      </x:c>
      <x:c r="S80" s="30" t="str">
        <x:v>MONTH</x:v>
      </x:c>
      <x:c r="T80" s="30" t="str">
        <x:v>EVD-688726-0012</x:v>
      </x:c>
      <x:c r="U80" s="30" t="str">
        <x:v>WEEK11_PROSPECTUS_IDENTIFIED</x:v>
      </x:c>
      <x:c r="V80" s="30" t="str">
        <x:v>CONFIRMED</x:v>
      </x:c>
      <x:c r="W80" s="30" t="str">
        <x:v>WEEK8_SCHEMA_V1.0_DIRECT_REUSE_WITH_OBSERVATION_WINDOW_NOTE</x:v>
      </x:c>
      <x:c r="X80" s="30" t="str">
        <x:v>FINAL_APPROVED</x:v>
      </x:c>
    </x:row>
    <x:row r="81">
      <x:c r="A81" s="30" t="str">
        <x:v>PATH-688726-0077</x:v>
      </x:c>
      <x:c r="B81" s="30" t="str">
        <x:v>PATH-688726-0077-E01</x:v>
      </x:c>
      <x:c r="C81" s="30" t="n">
        <x:v>1</x:v>
      </x:c>
      <x:c r="D81" s="30" t="str">
        <x:v>688726</x:v>
      </x:c>
      <x:c r="E81" s="30" t="str">
        <x:v>STD-688726-027</x:v>
      </x:c>
      <x:c r="F81" s="30" t="str">
        <x:v>STD-688726-ISSUER</x:v>
      </x:c>
      <x:c r="G81" s="30" t="str">
        <x:v>TRANSFER</x:v>
      </x:c>
      <x:c r="H81" s="30" t="str">
        <x:v>TRANSFER</x:v>
      </x:c>
      <x:c r="I81" s="76" t="n">
        <x:v>0.0025</x:v>
      </x:c>
      <x:c r="J81" s="76" t="str">
        <x:v>DISCLOSED_COMPLETE</x:v>
      </x:c>
      <x:c r="K81" s="70" t="b">
        <x:v>1</x:v>
      </x:c>
      <x:c r="L81" s="30" t="str">
        <x:v>STD-688726-027</x:v>
      </x:c>
      <x:c r="M81" s="30" t="str">
        <x:v>EVT-688726-0012</x:v>
      </x:c>
      <x:c r="N81" s="30" t="str">
        <x:v>TRX-688726-0027</x:v>
      </x:c>
      <x:c r="O81" s="30" t="str">
        <x:v>TRANSFER_ENTRY</x:v>
      </x:c>
      <x:c r="P81" s="30" t="str">
        <x:v>ISSUER_LEVEL</x:v>
      </x:c>
      <x:c r="Q81" s="30" t="str">
        <x:v>DIRECT</x:v>
      </x:c>
      <x:c r="R81" s="30" t="str">
        <x:v>2022-05</x:v>
      </x:c>
      <x:c r="S81" s="30" t="str">
        <x:v>MONTH</x:v>
      </x:c>
      <x:c r="T81" s="30" t="str">
        <x:v>EVD-688726-0012</x:v>
      </x:c>
      <x:c r="U81" s="30" t="str">
        <x:v>WEEK11_PROSPECTUS_IDENTIFIED</x:v>
      </x:c>
      <x:c r="V81" s="30" t="str">
        <x:v>CONFIRMED</x:v>
      </x:c>
      <x:c r="W81" s="30" t="str">
        <x:v>WEEK8_SCHEMA_V1.0_DIRECT_REUSE_WITH_OBSERVATION_WINDOW_NOTE</x:v>
      </x:c>
      <x:c r="X81" s="30" t="str">
        <x:v>FINAL_APPROVED</x:v>
      </x:c>
    </x:row>
    <x:row r="82">
      <x:c r="A82" s="30" t="str">
        <x:v>PATH-688726-0078</x:v>
      </x:c>
      <x:c r="B82" s="30" t="str">
        <x:v>PATH-688726-0078-E01</x:v>
      </x:c>
      <x:c r="C82" s="30" t="n">
        <x:v>1</x:v>
      </x:c>
      <x:c r="D82" s="30" t="str">
        <x:v>688726</x:v>
      </x:c>
      <x:c r="E82" s="30" t="str">
        <x:v>STD-688726-063</x:v>
      </x:c>
      <x:c r="F82" s="30" t="str">
        <x:v>STD-688726-ISSUER</x:v>
      </x:c>
      <x:c r="G82" s="30" t="str">
        <x:v>TRANSFER</x:v>
      </x:c>
      <x:c r="H82" s="30" t="str">
        <x:v>TRANSFER</x:v>
      </x:c>
      <x:c r="I82" s="76" t="n">
        <x:v>0.0021</x:v>
      </x:c>
      <x:c r="J82" s="76" t="str">
        <x:v>DISCLOSED_COMPLETE</x:v>
      </x:c>
      <x:c r="K82" s="70" t="b">
        <x:v>1</x:v>
      </x:c>
      <x:c r="L82" s="30" t="str">
        <x:v>STD-688726-063</x:v>
      </x:c>
      <x:c r="M82" s="30" t="str">
        <x:v>EVT-688726-0012</x:v>
      </x:c>
      <x:c r="N82" s="30" t="str">
        <x:v>TRX-688726-0028</x:v>
      </x:c>
      <x:c r="O82" s="30" t="str">
        <x:v>TRANSFER_ENTRY</x:v>
      </x:c>
      <x:c r="P82" s="30" t="str">
        <x:v>ISSUER_LEVEL</x:v>
      </x:c>
      <x:c r="Q82" s="30" t="str">
        <x:v>DIRECT</x:v>
      </x:c>
      <x:c r="R82" s="30" t="str">
        <x:v>2022-05</x:v>
      </x:c>
      <x:c r="S82" s="30" t="str">
        <x:v>MONTH</x:v>
      </x:c>
      <x:c r="T82" s="30" t="str">
        <x:v>EVD-688726-0012</x:v>
      </x:c>
      <x:c r="U82" s="30" t="str">
        <x:v>WEEK11_PROSPECTUS_IDENTIFIED</x:v>
      </x:c>
      <x:c r="V82" s="30" t="str">
        <x:v>CONFIRMED</x:v>
      </x:c>
      <x:c r="W82" s="30" t="str">
        <x:v>WEEK8_SCHEMA_V1.0_DIRECT_REUSE_WITH_OBSERVATION_WINDOW_NOTE</x:v>
      </x:c>
      <x:c r="X82" s="30" t="str">
        <x:v>FINAL_APPROVED</x:v>
      </x:c>
    </x:row>
    <x:row r="83">
      <x:c r="A83" s="30" t="str">
        <x:v>PATH-688726-0079</x:v>
      </x:c>
      <x:c r="B83" s="30" t="str">
        <x:v>PATH-688726-0079-E01</x:v>
      </x:c>
      <x:c r="C83" s="30" t="n">
        <x:v>1</x:v>
      </x:c>
      <x:c r="D83" s="30" t="str">
        <x:v>688726</x:v>
      </x:c>
      <x:c r="E83" s="30" t="str">
        <x:v>STD-688726-047</x:v>
      </x:c>
      <x:c r="F83" s="30" t="str">
        <x:v>STD-688726-ISSUER</x:v>
      </x:c>
      <x:c r="G83" s="30" t="str">
        <x:v>TRANSFER</x:v>
      </x:c>
      <x:c r="H83" s="30" t="str">
        <x:v>TRANSFER</x:v>
      </x:c>
      <x:c r="I83" s="76" t="n">
        <x:v>0.0074</x:v>
      </x:c>
      <x:c r="J83" s="76" t="str">
        <x:v>DISCLOSED_COMPLETE</x:v>
      </x:c>
      <x:c r="K83" s="70" t="b">
        <x:v>1</x:v>
      </x:c>
      <x:c r="L83" s="30" t="str">
        <x:v>STD-688726-047</x:v>
      </x:c>
      <x:c r="M83" s="30" t="str">
        <x:v>EVT-688726-0012</x:v>
      </x:c>
      <x:c r="N83" s="30" t="str">
        <x:v>TRX-688726-0029</x:v>
      </x:c>
      <x:c r="O83" s="30" t="str">
        <x:v>TRANSFER_ENTRY</x:v>
      </x:c>
      <x:c r="P83" s="30" t="str">
        <x:v>ISSUER_LEVEL</x:v>
      </x:c>
      <x:c r="Q83" s="30" t="str">
        <x:v>DIRECT</x:v>
      </x:c>
      <x:c r="R83" s="30" t="str">
        <x:v>2022-05</x:v>
      </x:c>
      <x:c r="S83" s="30" t="str">
        <x:v>MONTH</x:v>
      </x:c>
      <x:c r="T83" s="30" t="str">
        <x:v>EVD-688726-0012</x:v>
      </x:c>
      <x:c r="U83" s="30" t="str">
        <x:v>WEEK11_PROSPECTUS_IDENTIFIED</x:v>
      </x:c>
      <x:c r="V83" s="30" t="str">
        <x:v>CONFIRMED</x:v>
      </x:c>
      <x:c r="W83" s="30" t="str">
        <x:v>WEEK8_SCHEMA_V1.0_DIRECT_REUSE_WITH_OBSERVATION_WINDOW_NOTE</x:v>
      </x:c>
      <x:c r="X83" s="30" t="str">
        <x:v>FINAL_APPROVED</x:v>
      </x:c>
    </x:row>
    <x:row r="84">
      <x:c r="A84" s="30" t="str">
        <x:v>PATH-688726-0080</x:v>
      </x:c>
      <x:c r="B84" s="30" t="str">
        <x:v>PATH-688726-0080-E01</x:v>
      </x:c>
      <x:c r="C84" s="30" t="n">
        <x:v>1</x:v>
      </x:c>
      <x:c r="D84" s="30" t="str">
        <x:v>688726</x:v>
      </x:c>
      <x:c r="E84" s="30" t="str">
        <x:v>STD-688726-005</x:v>
      </x:c>
      <x:c r="F84" s="30" t="str">
        <x:v>STD-688726-ISSUER</x:v>
      </x:c>
      <x:c r="G84" s="30" t="str">
        <x:v>TRANSFER</x:v>
      </x:c>
      <x:c r="H84" s="30" t="str">
        <x:v>TRANSFER</x:v>
      </x:c>
      <x:c r="I84" s="76" t="n">
        <x:v>0.0101</x:v>
      </x:c>
      <x:c r="J84" s="76" t="str">
        <x:v>DISCLOSED_COMPLETE</x:v>
      </x:c>
      <x:c r="K84" s="70" t="b">
        <x:v>1</x:v>
      </x:c>
      <x:c r="L84" s="30" t="str">
        <x:v>STD-688726-005</x:v>
      </x:c>
      <x:c r="M84" s="30" t="str">
        <x:v>EVT-688726-0012</x:v>
      </x:c>
      <x:c r="N84" s="30" t="str">
        <x:v>TRX-688726-0030</x:v>
      </x:c>
      <x:c r="O84" s="30" t="str">
        <x:v>TRANSFER_ENTRY</x:v>
      </x:c>
      <x:c r="P84" s="30" t="str">
        <x:v>ISSUER_LEVEL</x:v>
      </x:c>
      <x:c r="Q84" s="30" t="str">
        <x:v>DIRECT</x:v>
      </x:c>
      <x:c r="R84" s="30" t="str">
        <x:v>2022-05</x:v>
      </x:c>
      <x:c r="S84" s="30" t="str">
        <x:v>MONTH</x:v>
      </x:c>
      <x:c r="T84" s="30" t="str">
        <x:v>EVD-688726-0012</x:v>
      </x:c>
      <x:c r="U84" s="30" t="str">
        <x:v>WEEK11_PROSPECTUS_IDENTIFIED</x:v>
      </x:c>
      <x:c r="V84" s="30" t="str">
        <x:v>CONFIRMED</x:v>
      </x:c>
      <x:c r="W84" s="30" t="str">
        <x:v>WEEK8_SCHEMA_V1.0_DIRECT_REUSE_WITH_OBSERVATION_WINDOW_NOTE</x:v>
      </x:c>
      <x:c r="X84" s="30" t="str">
        <x:v>FINAL_APPROVED</x:v>
      </x:c>
    </x:row>
    <x:row r="85">
      <x:c r="A85" s="30" t="str">
        <x:v>PATH-688726-0081</x:v>
      </x:c>
      <x:c r="B85" s="30" t="str">
        <x:v>PATH-688726-0081-E01</x:v>
      </x:c>
      <x:c r="C85" s="30" t="n">
        <x:v>1</x:v>
      </x:c>
      <x:c r="D85" s="30" t="str">
        <x:v>688726</x:v>
      </x:c>
      <x:c r="E85" s="30" t="str">
        <x:v>STD-688726-001</x:v>
      </x:c>
      <x:c r="F85" s="30" t="str">
        <x:v>STD-688726-ISSUER</x:v>
      </x:c>
      <x:c r="G85" s="30" t="str">
        <x:v>TRANSFER</x:v>
      </x:c>
      <x:c r="H85" s="30" t="str">
        <x:v>TRANSFER</x:v>
      </x:c>
      <x:c r="I85" s="76" t="n">
        <x:v>0.0095</x:v>
      </x:c>
      <x:c r="J85" s="76" t="str">
        <x:v>DISCLOSED_COMPLETE</x:v>
      </x:c>
      <x:c r="K85" s="70" t="b">
        <x:v>1</x:v>
      </x:c>
      <x:c r="L85" s="30" t="str">
        <x:v>STD-688726-001</x:v>
      </x:c>
      <x:c r="M85" s="30" t="str">
        <x:v>EVT-688726-0015</x:v>
      </x:c>
      <x:c r="N85" s="30" t="str">
        <x:v>TRX-688726-0034</x:v>
      </x:c>
      <x:c r="O85" s="30" t="str">
        <x:v>TRANSFER_ENTRY</x:v>
      </x:c>
      <x:c r="P85" s="30" t="str">
        <x:v>ISSUER_LEVEL</x:v>
      </x:c>
      <x:c r="Q85" s="30" t="str">
        <x:v>DIRECT</x:v>
      </x:c>
      <x:c r="R85" s="30" t="str">
        <x:v>2022-08</x:v>
      </x:c>
      <x:c r="S85" s="30" t="str">
        <x:v>MONTH</x:v>
      </x:c>
      <x:c r="T85" s="30" t="str">
        <x:v>EVD-688726-0015</x:v>
      </x:c>
      <x:c r="U85" s="30" t="str">
        <x:v>WEEK11_PROSPECTUS_IDENTIFIED</x:v>
      </x:c>
      <x:c r="V85" s="30" t="str">
        <x:v>CONFIRMED</x:v>
      </x:c>
      <x:c r="W85" s="30" t="str">
        <x:v>WEEK8_SCHEMA_V1.0_DIRECT_REUSE_WITH_OBSERVATION_WINDOW_NOTE</x:v>
      </x:c>
      <x:c r="X85" s="30" t="str">
        <x:v>FINAL_APPROVED</x:v>
      </x:c>
    </x:row>
    <x:row r="86">
      <x:c r="A86" s="30" t="str">
        <x:v>PATH-688726-0082</x:v>
      </x:c>
      <x:c r="B86" s="30" t="str">
        <x:v>PATH-688726-0082-E01</x:v>
      </x:c>
      <x:c r="C86" s="30" t="n">
        <x:v>1</x:v>
      </x:c>
      <x:c r="D86" s="30" t="str">
        <x:v>688726</x:v>
      </x:c>
      <x:c r="E86" s="30" t="str">
        <x:v>STD-688726-012</x:v>
      </x:c>
      <x:c r="F86" s="30" t="str">
        <x:v>STD-688726-ISSUER</x:v>
      </x:c>
      <x:c r="G86" s="30" t="str">
        <x:v>TRANSFER</x:v>
      </x:c>
      <x:c r="H86" s="30" t="str">
        <x:v>TRANSFER</x:v>
      </x:c>
      <x:c r="I86" s="76" t="n">
        <x:v>0.0121</x:v>
      </x:c>
      <x:c r="J86" s="76" t="str">
        <x:v>DISCLOSED_COMPLETE</x:v>
      </x:c>
      <x:c r="K86" s="70" t="b">
        <x:v>1</x:v>
      </x:c>
      <x:c r="L86" s="30" t="str">
        <x:v>STD-688726-012</x:v>
      </x:c>
      <x:c r="M86" s="30" t="str">
        <x:v>EVT-688726-0015</x:v>
      </x:c>
      <x:c r="N86" s="30" t="str">
        <x:v>TRX-688726-0037</x:v>
      </x:c>
      <x:c r="O86" s="30" t="str">
        <x:v>TRANSFER_ENTRY</x:v>
      </x:c>
      <x:c r="P86" s="30" t="str">
        <x:v>ISSUER_LEVEL</x:v>
      </x:c>
      <x:c r="Q86" s="30" t="str">
        <x:v>DIRECT</x:v>
      </x:c>
      <x:c r="R86" s="30" t="str">
        <x:v>2022-08</x:v>
      </x:c>
      <x:c r="S86" s="30" t="str">
        <x:v>MONTH</x:v>
      </x:c>
      <x:c r="T86" s="30" t="str">
        <x:v>EVD-688726-0015</x:v>
      </x:c>
      <x:c r="U86" s="30" t="str">
        <x:v>WEEK11_PROSPECTUS_IDENTIFIED</x:v>
      </x:c>
      <x:c r="V86" s="30" t="str">
        <x:v>CONFIRMED</x:v>
      </x:c>
      <x:c r="W86" s="30" t="str">
        <x:v>WEEK8_SCHEMA_V1.0_DIRECT_REUSE_WITH_OBSERVATION_WINDOW_NOTE</x:v>
      </x:c>
      <x:c r="X86" s="30" t="str">
        <x:v>FINAL_APPROVED</x:v>
      </x:c>
    </x:row>
    <x:row r="87">
      <x:c r="A87" s="30" t="str">
        <x:v>PATH-688726-0083</x:v>
      </x:c>
      <x:c r="B87" s="30" t="str">
        <x:v>PATH-688726-0083-E01</x:v>
      </x:c>
      <x:c r="C87" s="30" t="n">
        <x:v>1</x:v>
      </x:c>
      <x:c r="D87" s="30" t="str">
        <x:v>688726</x:v>
      </x:c>
      <x:c r="E87" s="30" t="str">
        <x:v>STD-688726-060</x:v>
      </x:c>
      <x:c r="F87" s="30" t="str">
        <x:v>STD-688726-ISSUER</x:v>
      </x:c>
      <x:c r="G87" s="30" t="str">
        <x:v>TRANSFER</x:v>
      </x:c>
      <x:c r="H87" s="30" t="str">
        <x:v>TRANSFER</x:v>
      </x:c>
      <x:c r="I87" s="76" t="n">
        <x:v>0.0161</x:v>
      </x:c>
      <x:c r="J87" s="76" t="str">
        <x:v>DISCLOSED_COMPLETE</x:v>
      </x:c>
      <x:c r="K87" s="70" t="b">
        <x:v>1</x:v>
      </x:c>
      <x:c r="L87" s="30" t="str">
        <x:v>STD-688726-060</x:v>
      </x:c>
      <x:c r="M87" s="30" t="str">
        <x:v>EVT-688726-0015</x:v>
      </x:c>
      <x:c r="N87" s="30" t="str">
        <x:v>TRX-688726-0038</x:v>
      </x:c>
      <x:c r="O87" s="30" t="str">
        <x:v>TRANSFER_ENTRY</x:v>
      </x:c>
      <x:c r="P87" s="30" t="str">
        <x:v>ISSUER_LEVEL</x:v>
      </x:c>
      <x:c r="Q87" s="30" t="str">
        <x:v>DIRECT</x:v>
      </x:c>
      <x:c r="R87" s="30" t="str">
        <x:v>2022-08</x:v>
      </x:c>
      <x:c r="S87" s="30" t="str">
        <x:v>MONTH</x:v>
      </x:c>
      <x:c r="T87" s="30" t="str">
        <x:v>EVD-688726-0015</x:v>
      </x:c>
      <x:c r="U87" s="30" t="str">
        <x:v>WEEK11_PROSPECTUS_IDENTIFIED</x:v>
      </x:c>
      <x:c r="V87" s="30" t="str">
        <x:v>CONFIRMED</x:v>
      </x:c>
      <x:c r="W87" s="30" t="str">
        <x:v>WEEK8_SCHEMA_V1.0_DIRECT_REUSE_WITH_OBSERVATION_WINDOW_NOTE</x:v>
      </x:c>
      <x:c r="X87" s="30" t="str">
        <x:v>FINAL_APPROVED</x:v>
      </x:c>
    </x:row>
    <x:row r="88">
      <x:c r="A88" s="30" t="str">
        <x:v>PATH-688726-0084</x:v>
      </x:c>
      <x:c r="B88" s="30" t="str">
        <x:v>PATH-688726-0084-E01</x:v>
      </x:c>
      <x:c r="C88" s="30" t="n">
        <x:v>1</x:v>
      </x:c>
      <x:c r="D88" s="30" t="str">
        <x:v>688726</x:v>
      </x:c>
      <x:c r="E88" s="30" t="str">
        <x:v>STD-688726-070</x:v>
      </x:c>
      <x:c r="F88" s="30" t="str">
        <x:v>STD-688726-ISSUER</x:v>
      </x:c>
      <x:c r="G88" s="30" t="str">
        <x:v>TRANSFER</x:v>
      </x:c>
      <x:c r="H88" s="30" t="str">
        <x:v>TRANSFER</x:v>
      </x:c>
      <x:c r="I88" s="76" t="n">
        <x:v>0.0039</x:v>
      </x:c>
      <x:c r="J88" s="76" t="str">
        <x:v>DISCLOSED_COMPLETE</x:v>
      </x:c>
      <x:c r="K88" s="70" t="b">
        <x:v>1</x:v>
      </x:c>
      <x:c r="L88" s="30" t="str">
        <x:v>STD-688726-070</x:v>
      </x:c>
      <x:c r="M88" s="30" t="str">
        <x:v>EVT-688726-0017</x:v>
      </x:c>
      <x:c r="N88" s="30" t="str">
        <x:v>TRX-688726-0040</x:v>
      </x:c>
      <x:c r="O88" s="30" t="str">
        <x:v>TRANSFER_ENTRY</x:v>
      </x:c>
      <x:c r="P88" s="30" t="str">
        <x:v>ISSUER_LEVEL</x:v>
      </x:c>
      <x:c r="Q88" s="30" t="str">
        <x:v>DIRECT</x:v>
      </x:c>
      <x:c r="R88" s="30" t="str">
        <x:v>2022-11</x:v>
      </x:c>
      <x:c r="S88" s="30" t="str">
        <x:v>MONTH</x:v>
      </x:c>
      <x:c r="T88" s="30" t="str">
        <x:v>EVD-688726-0017</x:v>
      </x:c>
      <x:c r="U88" s="30" t="str">
        <x:v>WEEK11_PROSPECTUS_IDENTIFIED</x:v>
      </x:c>
      <x:c r="V88" s="30" t="str">
        <x:v>CONFIRMED</x:v>
      </x:c>
      <x:c r="W88" s="30" t="str">
        <x:v>WEEK8_SCHEMA_V1.0_DIRECT_REUSE_WITH_OBSERVATION_WINDOW_NOTE</x:v>
      </x:c>
      <x:c r="X88" s="30" t="str">
        <x:v>FINAL_APPROVED</x:v>
      </x:c>
    </x:row>
    <x:row r="89">
      <x:c r="A89" s="31" t="str">
        <x:v>PATH-688726-0085</x:v>
      </x:c>
      <x:c r="B89" s="31" t="str">
        <x:v>PATH-688726-0085-E01</x:v>
      </x:c>
      <x:c r="C89" s="31" t="n">
        <x:v>1</x:v>
      </x:c>
      <x:c r="D89" s="31" t="str">
        <x:v>688726</x:v>
      </x:c>
      <x:c r="E89" s="31" t="str">
        <x:v>STD-688726-046</x:v>
      </x:c>
      <x:c r="F89" s="31" t="str">
        <x:v>STD-688726-ISSUER</x:v>
      </x:c>
      <x:c r="G89" s="31" t="str">
        <x:v>TRANSFER</x:v>
      </x:c>
      <x:c r="H89" s="31" t="str">
        <x:v>TRANSFER</x:v>
      </x:c>
      <x:c r="I89" s="77" t="n">
        <x:v>0.0072</x:v>
      </x:c>
      <x:c r="J89" s="77" t="str">
        <x:v>DISCLOSED_COMPLETE</x:v>
      </x:c>
      <x:c r="K89" s="71" t="b">
        <x:v>1</x:v>
      </x:c>
      <x:c r="L89" s="31" t="str">
        <x:v>STD-688726-046</x:v>
      </x:c>
      <x:c r="M89" s="31" t="str">
        <x:v>EVT-688726-0017</x:v>
      </x:c>
      <x:c r="N89" s="31" t="str">
        <x:v>TRX-688726-0042</x:v>
      </x:c>
      <x:c r="O89" s="31" t="str">
        <x:v>TRANSFER_ENTRY</x:v>
      </x:c>
      <x:c r="P89" s="31" t="str">
        <x:v>ISSUER_LEVEL</x:v>
      </x:c>
      <x:c r="Q89" s="31" t="str">
        <x:v>DIRECT</x:v>
      </x:c>
      <x:c r="R89" s="31" t="str">
        <x:v>2022-11</x:v>
      </x:c>
      <x:c r="S89" s="31" t="str">
        <x:v>MONTH</x:v>
      </x:c>
      <x:c r="T89" s="31" t="str">
        <x:v>EVD-688726-0017</x:v>
      </x:c>
      <x:c r="U89" s="31" t="str">
        <x:v>WEEK11_PROSPECTUS_IDENTIFIED</x:v>
      </x:c>
      <x:c r="V89" s="31" t="str">
        <x:v>CONFIRMED</x:v>
      </x:c>
      <x:c r="W89" s="31" t="str">
        <x:v>WEEK8_SCHEMA_V1.0_DIRECT_REUSE_WITH_OBSERVATION_WINDOW_NOTE</x:v>
      </x:c>
      <x:c r="X89" s="31" t="str">
        <x:v>FINAL_APPROVED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  <x:col min="7" max="7" width="48" hidden="0" customWidth="1"/>
    <x:col min="8" max="8" width="24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  <x:col min="13" max="13" width="48" hidden="0" customWidth="1"/>
    <x:col min="14" max="14" width="48" hidden="0" customWidth="1"/>
    <x:col min="15" max="15" width="48" hidden="0" customWidth="1"/>
    <x:col min="16" max="16" width="18" hidden="0" customWidth="1"/>
    <x:col min="17" max="17" width="24" hidden="0" customWidth="1"/>
    <x:col min="18" max="18" width="48" hidden="0" customWidth="1"/>
    <x:col min="19" max="19" width="48" hidden="0" customWidth="1"/>
    <x:col min="20" max="20" width="24" hidden="0" customWidth="1"/>
  </x:cols>
  <x:sheetData>
    <x:row r="1" ht="30" customHeight="1">
      <x:c r="A1" s="3" t="str">
        <x:v>validation_issues · 拉普拉斯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Week 8 Schema v1.0原字段顺序；仅包含第十家公司扩展层。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</x:row>
    <x:row r="4" ht="30" customHeight="1">
      <x:c r="A4" s="19" t="str">
        <x:v>issue_id</x:v>
      </x:c>
      <x:c r="B4" s="20" t="str">
        <x:v>object_type</x:v>
      </x:c>
      <x:c r="C4" s="20" t="str">
        <x:v>object_id</x:v>
      </x:c>
      <x:c r="D4" s="20" t="str">
        <x:v>field_name</x:v>
      </x:c>
      <x:c r="E4" s="20" t="str">
        <x:v>company_id</x:v>
      </x:c>
      <x:c r="F4" s="20" t="str">
        <x:v>event_id</x:v>
      </x:c>
      <x:c r="G4" s="20" t="str">
        <x:v>transaction_id</x:v>
      </x:c>
      <x:c r="H4" s="20" t="str">
        <x:v>entity_id</x:v>
      </x:c>
      <x:c r="I4" s="20" t="str">
        <x:v>issue_category</x:v>
      </x:c>
      <x:c r="J4" s="20" t="str">
        <x:v>rule_id</x:v>
      </x:c>
      <x:c r="K4" s="20" t="str">
        <x:v>detected_by</x:v>
      </x:c>
      <x:c r="L4" s="20" t="str">
        <x:v>severity</x:v>
      </x:c>
      <x:c r="M4" s="20" t="str">
        <x:v>issue_description</x:v>
      </x:c>
      <x:c r="N4" s="20" t="str">
        <x:v>impact</x:v>
      </x:c>
      <x:c r="O4" s="20" t="str">
        <x:v>required_action</x:v>
      </x:c>
      <x:c r="P4" s="20" t="str">
        <x:v>prospectus_recheck_required</x:v>
      </x:c>
      <x:c r="Q4" s="20" t="str">
        <x:v>status</x:v>
      </x:c>
      <x:c r="R4" s="20" t="str">
        <x:v>resolution_note</x:v>
      </x:c>
      <x:c r="S4" s="20" t="str">
        <x:v>resolution_basis</x:v>
      </x:c>
      <x:c r="T4" s="21" t="str">
        <x:v>review_status</x:v>
      </x:c>
    </x:row>
    <x:row r="5">
      <x:c r="A5" s="29" t="str">
        <x:v>W12-ISS-001</x:v>
      </x:c>
      <x:c r="B5" s="29" t="str">
        <x:v>COMPANY</x:v>
      </x:c>
      <x:c r="C5" s="29" t="str">
        <x:v>688726</x:v>
      </x:c>
      <x:c r="D5" s="29" t="str">
        <x:v>financing_round_count</x:v>
      </x:c>
      <x:c r="E5" s="29" t="str">
        <x:v>688726</x:v>
      </x:c>
      <x:c r="F5" s="29"/>
      <x:c r="G5" s="29"/>
      <x:c r="H5" s="29"/>
      <x:c r="I5" s="29" t="str">
        <x:v>CALIBER</x:v>
      </x:c>
      <x:c r="J5" s="29" t="str">
        <x:v>WEEK11_BOUNDARY_EXTENSION_REVIEW</x:v>
      </x:c>
      <x:c r="K5" s="29" t="str">
        <x:v>MANUAL_REVIEW</x:v>
      </x:c>
      <x:c r="L5" s="29" t="str">
        <x:v>B_MATERIAL</x:v>
      </x:c>
      <x:c r="M5" s="29" t="str">
        <x:v>设立资本500万元与报告期初资本528.7089万元之间存在未逐笔披露的观察窗缺口。</x:v>
      </x:c>
      <x:c r="N5" s="29" t="str">
        <x:v>轮数、融资额、主体数及时间跨度只能解释为2020—2022年可核验下限。</x:v>
      </x:c>
      <x:c r="O5" s="29" t="str">
        <x:v>保留11轮可见融资，并通过disclosure_limitation和CV032显式标记。</x:v>
      </x:c>
      <x:c r="P5" s="69" t="b">
        <x:v>0</x:v>
      </x:c>
      <x:c r="Q5" s="29" t="str">
        <x:v>ACCEPTED_LIMITATION</x:v>
      </x:c>
      <x:c r="R5" s="29" t="str">
        <x:v>现有Schema可表达，但同类样本增加时可考虑v1.1观察窗字段。</x:v>
      </x:c>
      <x:c r="S5" s="29" t="str">
        <x:v>WEEK8_SCHEMA_V1.0_PLUS_WEEK10_WEEK11_RULES</x:v>
      </x:c>
      <x:c r="T5" s="29" t="str">
        <x:v>ACCEPTED_LIMITATION</x:v>
      </x:c>
    </x:row>
    <x:row r="6">
      <x:c r="A6" s="30" t="str">
        <x:v>W12-ISS-002</x:v>
      </x:c>
      <x:c r="B6" s="30" t="str">
        <x:v>EVENT</x:v>
      </x:c>
      <x:c r="C6" s="30" t="str">
        <x:v>EVT-688726-0012</x:v>
      </x:c>
      <x:c r="D6" s="30" t="str">
        <x:v>event_type_standardized</x:v>
      </x:c>
      <x:c r="E6" s="30" t="str">
        <x:v>688726</x:v>
      </x:c>
      <x:c r="F6" s="30" t="str">
        <x:v>EVT-688726-0012</x:v>
      </x:c>
      <x:c r="G6" s="30"/>
      <x:c r="H6" s="30"/>
      <x:c r="I6" s="30" t="str">
        <x:v>STRUCTURE</x:v>
      </x:c>
      <x:c r="J6" s="30" t="str">
        <x:v>WEEK11_BOUNDARY_EXTENSION_REVIEW</x:v>
      </x:c>
      <x:c r="K6" s="30" t="str">
        <x:v>MANUAL_REVIEW</x:v>
      </x:c>
      <x:c r="L6" s="30" t="str">
        <x:v>B_MATERIAL</x:v>
      </x:c>
      <x:c r="M6" s="30" t="str">
        <x:v>2022年5月同一源事件同时包含6笔老股转让和1笔增资。</x:v>
      </x:c>
      <x:c r="N6" s="30" t="str">
        <x:v>若只保留单一事件类型会丢失其中一种资金流。</x:v>
      </x:c>
      <x:c r="O6" s="30" t="str">
        <x:v>事件标准化为COMPOUND，交易层分别记录EQUITY_TRANSFER与CAPITAL_INCREASE。</x:v>
      </x:c>
      <x:c r="P6" s="70" t="b">
        <x:v>0</x:v>
      </x:c>
      <x:c r="Q6" s="30" t="str">
        <x:v>RESOLVED</x:v>
      </x:c>
      <x:c r="R6" s="30" t="str">
        <x:v>现有事件—交易一对多结构能够直接表达。</x:v>
      </x:c>
      <x:c r="S6" s="30" t="str">
        <x:v>WEEK8_SCHEMA_V1.0_PLUS_WEEK10_WEEK11_RULES</x:v>
      </x:c>
      <x:c r="T6" s="30" t="str">
        <x:v>FINAL_APPROVED</x:v>
      </x:c>
    </x:row>
    <x:row r="7">
      <x:c r="A7" s="30" t="str">
        <x:v>W12-ISS-003</x:v>
      </x:c>
      <x:c r="B7" s="30" t="str">
        <x:v>CROSS_OBJECT</x:v>
      </x:c>
      <x:c r="C7" s="30" t="str">
        <x:v>2022-07|2022-12</x:v>
      </x:c>
      <x:c r="D7" s="30"/>
      <x:c r="E7" s="30" t="str">
        <x:v>688726</x:v>
      </x:c>
      <x:c r="F7" s="30"/>
      <x:c r="G7" s="30"/>
      <x:c r="H7" s="30"/>
      <x:c r="I7" s="30" t="str">
        <x:v>DATE</x:v>
      </x:c>
      <x:c r="J7" s="30" t="str">
        <x:v>WEEK11_BOUNDARY_EXTENSION_REVIEW</x:v>
      </x:c>
      <x:c r="K7" s="30" t="str">
        <x:v>MANUAL_REVIEW</x:v>
      </x:c>
      <x:c r="L7" s="30" t="str">
        <x:v>B_MATERIAL</x:v>
      </x:c>
      <x:c r="M7" s="30" t="str">
        <x:v>2022年7月及12月分别存在同月多轮增资。</x:v>
      </x:c>
      <x:c r="N7" s="30" t="str">
        <x:v>按月份去重会错误合并融资轮。</x:v>
      </x:c>
      <x:c r="O7" s="30" t="str">
        <x:v>使用独立event_id、source_event_id和event_sequence保留事件边界。</x:v>
      </x:c>
      <x:c r="P7" s="70" t="b">
        <x:v>0</x:v>
      </x:c>
      <x:c r="Q7" s="30" t="str">
        <x:v>RESOLVED</x:v>
      </x:c>
      <x:c r="R7" s="30" t="str">
        <x:v>延续Week11同月多事件规则。</x:v>
      </x:c>
      <x:c r="S7" s="30" t="str">
        <x:v>WEEK8_SCHEMA_V1.0_PLUS_WEEK10_WEEK11_RULES</x:v>
      </x:c>
      <x:c r="T7" s="30" t="str">
        <x:v>FINAL_APPROVED</x:v>
      </x:c>
    </x:row>
    <x:row r="8">
      <x:c r="A8" s="31" t="str">
        <x:v>W12-ISS-004</x:v>
      </x:c>
      <x:c r="B8" s="31" t="str">
        <x:v>ENTITY</x:v>
      </x:c>
      <x:c r="C8" s="31" t="str">
        <x:v>688726</x:v>
      </x:c>
      <x:c r="D8" s="31" t="str">
        <x:v>standardized_pevc_status</x:v>
      </x:c>
      <x:c r="E8" s="31" t="str">
        <x:v>688726</x:v>
      </x:c>
      <x:c r="F8" s="31"/>
      <x:c r="G8" s="31"/>
      <x:c r="H8" s="31"/>
      <x:c r="I8" s="31" t="str">
        <x:v>ENTITY</x:v>
      </x:c>
      <x:c r="J8" s="31" t="str">
        <x:v>WEEK11_BOUNDARY_EXTENSION_REVIEW</x:v>
      </x:c>
      <x:c r="K8" s="31" t="str">
        <x:v>MANUAL_REVIEW</x:v>
      </x:c>
      <x:c r="L8" s="31" t="str">
        <x:v>B_MATERIAL</x:v>
      </x:c>
      <x:c r="M8" s="31" t="str">
        <x:v>机构股东既包含29名备案私募基金，也包含未备案的员工、自有及投资平台。</x:v>
      </x:c>
      <x:c r="N8" s="31" t="str">
        <x:v>仅凭名称会把未备案平台误判为确认PE/VC。</x:v>
      </x:c>
      <x:c r="O8" s="31" t="str">
        <x:v>29名备案基金确认为PEVC_CONFIRMED，其余按EXCLUDED或CANDIDATE保守处理。</x:v>
      </x:c>
      <x:c r="P8" s="71" t="b">
        <x:v>0</x:v>
      </x:c>
      <x:c r="Q8" s="31" t="str">
        <x:v>RESOLVED</x:v>
      </x:c>
      <x:c r="R8" s="31" t="str">
        <x:v>现有五级PE/VC状态足够表达。</x:v>
      </x:c>
      <x:c r="S8" s="31" t="str">
        <x:v>WEEK8_SCHEMA_V1.0_PLUS_WEEK10_WEEK11_RULES</x:v>
      </x:c>
      <x:c r="T8" s="31" t="str">
        <x:v>FINAL_APPROVED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22" hidden="0" customWidth="1"/>
    <x:col min="5" max="5" width="16" hidden="0" customWidth="1"/>
    <x:col min="6" max="6" width="52" hidden="0" customWidth="1"/>
  </x:cols>
  <x:sheetData>
    <x:row r="1" ht="30" customHeight="1">
      <x:c r="A1" s="3" t="str">
        <x:v>Week 11边界实验验收</x:v>
      </x:c>
      <x:c r="B1" s="3"/>
      <x:c r="C1" s="3"/>
      <x:c r="D1" s="3"/>
      <x:c r="E1" s="3"/>
      <x:c r="F1" s="3"/>
    </x:row>
    <x:row r="2" ht="34" customHeight="1">
      <x:c r="A2" s="7" t="str">
        <x:v>17项结构、口径、数值、变量与合并层检查全部通过。</x:v>
      </x:c>
      <x:c r="B2" s="7"/>
      <x:c r="C2" s="7"/>
      <x:c r="D2" s="7"/>
      <x:c r="E2" s="7"/>
      <x:c r="F2" s="7"/>
    </x:row>
    <x:row r="3">
      <x:c r="A3" s="78"/>
      <x:c r="B3" s="78"/>
      <x:c r="C3" s="78"/>
      <x:c r="D3" s="78"/>
      <x:c r="E3" s="78"/>
      <x:c r="F3" s="78"/>
    </x:row>
    <x:row r="4" ht="30" customHeight="1">
      <x:c r="A4" s="19" t="str">
        <x:v>检查ID</x:v>
      </x:c>
      <x:c r="B4" s="20" t="str">
        <x:v>检查项目</x:v>
      </x:c>
      <x:c r="C4" s="20" t="str">
        <x:v>实际</x:v>
      </x:c>
      <x:c r="D4" s="20" t="str">
        <x:v>预期</x:v>
      </x:c>
      <x:c r="E4" s="20" t="str">
        <x:v>公式状态</x:v>
      </x:c>
      <x:c r="F4" s="21" t="str">
        <x:v>依据</x:v>
      </x:c>
    </x:row>
    <x:row r="5">
      <x:c r="A5" s="29" t="str">
        <x:v>C01</x:v>
      </x:c>
      <x:c r="B5" s="29" t="str">
        <x:v>第十家公司记录</x:v>
      </x:c>
      <x:c r="C5" s="29" t="n">
        <x:v>1</x:v>
      </x:c>
      <x:c r="D5" s="29" t="n">
        <x:v>1</x:v>
      </x:c>
      <x:c r="E5" s="29" t="str">
        <x:f>IF(C5=D5,"PASS","FAIL")</x:f>
        <x:v>PASS</x:v>
      </x:c>
      <x:c r="F5" s="29" t="str">
        <x:v>688726</x:v>
      </x:c>
    </x:row>
    <x:row r="6">
      <x:c r="A6" s="30" t="str">
        <x:v>C02</x:v>
      </x:c>
      <x:c r="B6" s="30" t="str">
        <x:v>可核验融资轮数</x:v>
      </x:c>
      <x:c r="C6" s="30" t="n">
        <x:v>11</x:v>
      </x:c>
      <x:c r="D6" s="30" t="n">
        <x:v>11</x:v>
      </x:c>
      <x:c r="E6" s="30" t="str">
        <x:f>IF(C6=D6,"PASS","FAIL")</x:f>
        <x:v>PASS</x:v>
      </x:c>
      <x:c r="F6" s="30" t="str">
        <x:v>2020—2022观察窗</x:v>
      </x:c>
    </x:row>
    <x:row r="7">
      <x:c r="A7" s="30" t="str">
        <x:v>C03</x:v>
      </x:c>
      <x:c r="B7" s="30" t="str">
        <x:v>可核验发行人融资金额</x:v>
      </x:c>
      <x:c r="C7" s="30" t="n">
        <x:v>167442.1046</x:v>
      </x:c>
      <x:c r="D7" s="30" t="n">
        <x:v>167442.1046</x:v>
      </x:c>
      <x:c r="E7" s="30" t="str">
        <x:f>IF(C7=D7,"PASS","FAIL")</x:f>
        <x:v>PASS</x:v>
      </x:c>
      <x:c r="F7" s="30" t="str">
        <x:v>11轮金额求和</x:v>
      </x:c>
    </x:row>
    <x:row r="8">
      <x:c r="A8" s="30" t="str">
        <x:v>C04</x:v>
      </x:c>
      <x:c r="B8" s="30" t="str">
        <x:v>老股转让交易数</x:v>
      </x:c>
      <x:c r="C8" s="30" t="n">
        <x:v>32</x:v>
      </x:c>
      <x:c r="D8" s="30" t="n">
        <x:v>32</x:v>
      </x:c>
      <x:c r="E8" s="30" t="str">
        <x:f>IF(C8=D8,"PASS","FAIL")</x:f>
        <x:v>PASS</x:v>
      </x:c>
      <x:c r="F8" s="30" t="str">
        <x:v>逐笔拆分</x:v>
      </x:c>
    </x:row>
    <x:row r="9">
      <x:c r="A9" s="30" t="str">
        <x:v>C05</x:v>
      </x:c>
      <x:c r="B9" s="30" t="str">
        <x:v>可核验老股转让对价</x:v>
      </x:c>
      <x:c r="C9" s="30" t="n">
        <x:v>44483.3918</x:v>
      </x:c>
      <x:c r="D9" s="30" t="n">
        <x:v>44483.3918</x:v>
      </x:c>
      <x:c r="E9" s="30" t="str">
        <x:f>IF(C9=D9,"PASS","FAIL")</x:f>
        <x:v>PASS</x:v>
      </x:c>
      <x:c r="F9" s="30" t="str">
        <x:v>32笔求和</x:v>
      </x:c>
    </x:row>
    <x:row r="10">
      <x:c r="A10" s="30" t="str">
        <x:v>C06</x:v>
      </x:c>
      <x:c r="B10" s="30" t="str">
        <x:v>确认PE/VC主体</x:v>
      </x:c>
      <x:c r="C10" s="30" t="n">
        <x:v>29</x:v>
      </x:c>
      <x:c r="D10" s="30" t="n">
        <x:v>29</x:v>
      </x:c>
      <x:c r="E10" s="30" t="str">
        <x:f>IF(C10=D10,"PASS","FAIL")</x:f>
        <x:v>PASS</x:v>
      </x:c>
      <x:c r="F10" s="30" t="str">
        <x:v>招股书基金备案表</x:v>
      </x:c>
    </x:row>
    <x:row r="11">
      <x:c r="A11" s="30" t="str">
        <x:v>C07</x:v>
      </x:c>
      <x:c r="B11" s="30" t="str">
        <x:v>9张标准表均生成</x:v>
      </x:c>
      <x:c r="C11" s="30" t="n">
        <x:v>9</x:v>
      </x:c>
      <x:c r="D11" s="30" t="n">
        <x:v>9</x:v>
      </x:c>
      <x:c r="E11" s="30" t="str">
        <x:f>IF(C11=D11,"PASS","FAIL")</x:f>
        <x:v>PASS</x:v>
      </x:c>
      <x:c r="F11" s="30" t="str">
        <x:v>Week8 Schema v1.0</x:v>
      </x:c>
    </x:row>
    <x:row r="12">
      <x:c r="A12" s="30" t="str">
        <x:v>C08</x:v>
      </x:c>
      <x:c r="B12" s="30" t="str">
        <x:v>32变量均完成判断</x:v>
      </x:c>
      <x:c r="C12" s="30" t="n">
        <x:v>32</x:v>
      </x:c>
      <x:c r="D12" s="30" t="n">
        <x:v>32</x:v>
      </x:c>
      <x:c r="E12" s="30" t="str">
        <x:f>IF(C12=D12,"PASS","FAIL")</x:f>
        <x:v>PASS</x:v>
      </x:c>
      <x:c r="F12" s="30" t="str">
        <x:v>Week9冻结变量字典</x:v>
      </x:c>
    </x:row>
    <x:row r="13">
      <x:c r="A13" s="30" t="str">
        <x:v>C09</x:v>
      </x:c>
      <x:c r="B13" s="30" t="str">
        <x:v>数值校验无FAIL</x:v>
      </x:c>
      <x:c r="C13" s="30" t="n">
        <x:v>0</x:v>
      </x:c>
      <x:c r="D13" s="30" t="n">
        <x:v>0</x:v>
      </x:c>
      <x:c r="E13" s="30" t="str">
        <x:f>IF(C13=D13,"PASS","FAIL")</x:f>
        <x:v>PASS</x:v>
      </x:c>
      <x:c r="F13" s="30" t="str">
        <x:v>容差规则</x:v>
      </x:c>
    </x:row>
    <x:row r="14">
      <x:c r="A14" s="30" t="str">
        <x:v>C10</x:v>
      </x:c>
      <x:c r="B14" s="30" t="str">
        <x:v>Schema强制变更需求</x:v>
      </x:c>
      <x:c r="C14" s="30" t="n">
        <x:v>0</x:v>
      </x:c>
      <x:c r="D14" s="30" t="n">
        <x:v>0</x:v>
      </x:c>
      <x:c r="E14" s="30" t="str">
        <x:f>IF(C14=D14,"PASS","FAIL")</x:f>
        <x:v>PASS</x:v>
      </x:c>
      <x:c r="F14" s="30" t="str">
        <x:v>9表复用判断</x:v>
      </x:c>
    </x:row>
    <x:row r="15">
      <x:c r="A15" s="30" t="str">
        <x:v>C11</x:v>
      </x:c>
      <x:c r="B15" s="30" t="str">
        <x:v>必填字段错误</x:v>
      </x:c>
      <x:c r="C15" s="30" t="n">
        <x:v>0</x:v>
      </x:c>
      <x:c r="D15" s="30" t="n">
        <x:v>0</x:v>
      </x:c>
      <x:c r="E15" s="30" t="str">
        <x:f>IF(C15=D15,"PASS","FAIL")</x:f>
        <x:v>PASS</x:v>
      </x:c>
      <x:c r="F15" s="30" t="str">
        <x:v>Schema required_level</x:v>
      </x:c>
    </x:row>
    <x:row r="16">
      <x:c r="A16" s="30" t="str">
        <x:v>C12</x:v>
      </x:c>
      <x:c r="B16" s="30" t="str">
        <x:v>枚举值错误</x:v>
      </x:c>
      <x:c r="C16" s="30" t="n">
        <x:v>0</x:v>
      </x:c>
      <x:c r="D16" s="30" t="n">
        <x:v>0</x:v>
      </x:c>
      <x:c r="E16" s="30" t="str">
        <x:f>IF(C16=D16,"PASS","FAIL")</x:f>
        <x:v>PASS</x:v>
      </x:c>
      <x:c r="F16" s="30" t="str">
        <x:v>Schema allowed_values</x:v>
      </x:c>
    </x:row>
    <x:row r="17">
      <x:c r="A17" s="30" t="str">
        <x:v>C13</x:v>
      </x:c>
      <x:c r="B17" s="30" t="str">
        <x:v>扩展层外键错误</x:v>
      </x:c>
      <x:c r="C17" s="30" t="n">
        <x:v>0</x:v>
      </x:c>
      <x:c r="D17" s="30" t="n">
        <x:v>0</x:v>
      </x:c>
      <x:c r="E17" s="30" t="str">
        <x:f>IF(C17=D17,"PASS","FAIL")</x:f>
        <x:v>PASS</x:v>
      </x:c>
      <x:c r="F17" s="30" t="str">
        <x:v>event/transaction/entity关系</x:v>
      </x:c>
    </x:row>
    <x:row r="18">
      <x:c r="A18" s="30" t="str">
        <x:v>C14</x:v>
      </x:c>
      <x:c r="B18" s="30" t="str">
        <x:v>十家公司合并记录</x:v>
      </x:c>
      <x:c r="C18" s="30" t="n">
        <x:v>10</x:v>
      </x:c>
      <x:c r="D18" s="30" t="n">
        <x:v>10</x:v>
      </x:c>
      <x:c r="E18" s="30" t="str">
        <x:f>IF(C18=D18,"PASS","FAIL")</x:f>
        <x:v>PASS</x:v>
      </x:c>
      <x:c r="F18" s="30" t="str">
        <x:v>Week11第九家公司+同周第十家公司扩展</x:v>
      </x:c>
    </x:row>
    <x:row r="19">
      <x:c r="A19" s="30" t="str">
        <x:v>C15</x:v>
      </x:c>
      <x:c r="B19" s="30" t="str">
        <x:v>合并层标准表数量</x:v>
      </x:c>
      <x:c r="C19" s="30" t="n">
        <x:v>9</x:v>
      </x:c>
      <x:c r="D19" s="30" t="n">
        <x:v>9</x:v>
      </x:c>
      <x:c r="E19" s="30" t="str">
        <x:f>IF(C19=D19,"PASS","FAIL")</x:f>
        <x:v>PASS</x:v>
      </x:c>
      <x:c r="F19" s="30" t="str">
        <x:v>Week8 Schema v1.0</x:v>
      </x:c>
    </x:row>
    <x:row r="20">
      <x:c r="A20" s="30" t="str">
        <x:v>C16</x:v>
      </x:c>
      <x:c r="B20" s="30" t="str">
        <x:v>合并层主键重复</x:v>
      </x:c>
      <x:c r="C20" s="30" t="n">
        <x:v>0</x:v>
      </x:c>
      <x:c r="D20" s="30" t="n">
        <x:v>0</x:v>
      </x:c>
      <x:c r="E20" s="30" t="str">
        <x:f>IF(C20=D20,"PASS","FAIL")</x:f>
        <x:v>PASS</x:v>
      </x:c>
      <x:c r="F20" s="30" t="str">
        <x:v>逐表主键检查</x:v>
      </x:c>
    </x:row>
    <x:row r="21">
      <x:c r="A21" s="31" t="str">
        <x:v>C17</x:v>
      </x:c>
      <x:c r="B21" s="31" t="str">
        <x:v>合并层新增外键错误</x:v>
      </x:c>
      <x:c r="C21" s="31" t="n">
        <x:v>0</x:v>
      </x:c>
      <x:c r="D21" s="31" t="n">
        <x:v>0</x:v>
      </x:c>
      <x:c r="E21" s="31" t="str">
        <x:f>IF(C21=D21,"PASS","FAIL")</x:f>
        <x:v>PASS</x:v>
      </x:c>
      <x:c r="F21" s="31" t="str">
        <x:v>既有例外不扩大</x:v>
      </x:c>
    </x:row>
  </x:sheetData>
  <x:mergeCells>
    <x:mergeCell ref="A1:F1"/>
    <x:mergeCell ref="A2:F2"/>
  </x:mergeCells>
  <x:conditionalFormatting sqref="E5:E2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0" hidden="0" customWidth="1"/>
    <x:col min="4" max="4" width="64" hidden="0" customWidth="1"/>
    <x:col min="5" max="5" width="18" hidden="0" customWidth="1"/>
    <x:col min="6" max="6" width="30" hidden="0" customWidth="1"/>
  </x:cols>
  <x:sheetData>
    <x:row r="1" ht="30" customHeight="1">
      <x:c r="A1" s="3" t="str">
        <x:v>来源、版本与研究边界</x:v>
      </x:c>
      <x:c r="B1" s="3"/>
      <x:c r="C1" s="3"/>
      <x:c r="D1" s="3"/>
      <x:c r="E1" s="3"/>
      <x:c r="F1" s="3"/>
    </x:row>
    <x:row r="2" ht="34" customHeight="1">
      <x:c r="A2" s="7" t="str">
        <x:v>正式版用于版本确认；可解析申报稿用于逐笔重建，二者的2020—2022股本变动表经检索交叉核对。</x:v>
      </x:c>
      <x:c r="B2" s="7"/>
      <x:c r="C2" s="7"/>
      <x:c r="D2" s="7"/>
      <x:c r="E2" s="7"/>
      <x:c r="F2" s="7"/>
    </x:row>
    <x:row r="3">
      <x:c r="A3" s="78"/>
      <x:c r="B3" s="78"/>
      <x:c r="C3" s="78"/>
      <x:c r="D3" s="78"/>
      <x:c r="E3" s="78"/>
      <x:c r="F3" s="78"/>
    </x:row>
    <x:row r="4" ht="30" customHeight="1">
      <x:c r="A4" s="19" t="str">
        <x:v>项目</x:v>
      </x:c>
      <x:c r="B4" s="20" t="str">
        <x:v>内容</x:v>
      </x:c>
      <x:c r="C4" s="20" t="str">
        <x:v>项目</x:v>
      </x:c>
      <x:c r="D4" s="20" t="str">
        <x:v>内容</x:v>
      </x:c>
      <x:c r="E4" s="20" t="str">
        <x:v>状态</x:v>
      </x:c>
      <x:c r="F4" s="21" t="str">
        <x:v>说明</x:v>
      </x:c>
    </x:row>
    <x:row r="5">
      <x:c r="A5" s="29" t="str">
        <x:v>公司</x:v>
      </x:c>
      <x:c r="B5" s="29" t="str">
        <x:v>拉普拉斯</x:v>
      </x:c>
      <x:c r="C5" s="29" t="str">
        <x:v>证券代码</x:v>
      </x:c>
      <x:c r="D5" s="29" t="str">
        <x:v>688726</x:v>
      </x:c>
      <x:c r="E5" s="29" t="str">
        <x:v>确认</x:v>
      </x:c>
      <x:c r="F5" s="29" t="str">
        <x:v>科创板</x:v>
      </x:c>
    </x:row>
    <x:row r="6">
      <x:c r="A6" s="30" t="str">
        <x:v>可解析文件</x:v>
      </x:c>
      <x:c r="B6" s="30" t="str">
        <x:v>688726_laplace_ipo_application_20230619.pdf</x:v>
      </x:c>
      <x:c r="C6" s="30" t="str">
        <x:v>版本</x:v>
      </x:c>
      <x:c r="D6" s="30" t="str">
        <x:v>2023-06-19申报稿</x:v>
      </x:c>
      <x:c r="E6" s="30" t="str">
        <x:v>确认</x:v>
      </x:c>
      <x:c r="F6" s="30" t="str">
        <x:v>435页，SHA-256已记录</x:v>
      </x:c>
    </x:row>
    <x:row r="7">
      <x:c r="A7" s="30" t="str">
        <x:v>正式版日期</x:v>
      </x:c>
      <x:c r="B7" s="30" t="str">
        <x:v>2024-10-24</x:v>
      </x:c>
      <x:c r="C7" s="30" t="str">
        <x:v>正式版URL</x:v>
      </x:c>
      <x:c r="D7" s="30" t="str">
        <x:v>https://www.sse.com.cn/disclosure/listedinfo/announcement/c/new/2024-10-24/688726_20241024_RX0S.pdf</x:v>
      </x:c>
      <x:c r="E7" s="30" t="str">
        <x:v>确认</x:v>
      </x:c>
      <x:c r="F7" s="30" t="str">
        <x:v>上交所官方</x:v>
      </x:c>
    </x:row>
    <x:row r="8">
      <x:c r="A8" s="31" t="str">
        <x:v>观察窗</x:v>
      </x:c>
      <x:c r="B8" s="31" t="str">
        <x:v>2020-04至2022-12</x:v>
      </x:c>
      <x:c r="C8" s="31" t="str">
        <x:v>早期缺口</x:v>
      </x:c>
      <x:c r="D8" s="31" t="str">
        <x:v>2016-05设立资本500万元至报告期初资本528.7089万元未逐笔披露</x:v>
      </x:c>
      <x:c r="E8" s="31" t="str">
        <x:v>限制</x:v>
      </x:c>
      <x:c r="F8" s="31" t="str">
        <x:v>所有累计量按下限解释</x:v>
      </x:c>
    </x:row>
    <x:row r="9">
      <x:c r="A9" s="78"/>
      <x:c r="B9" s="78"/>
      <x:c r="C9" s="78"/>
      <x:c r="D9" s="78"/>
      <x:c r="E9" s="78"/>
      <x:c r="F9" s="78"/>
    </x:row>
    <x:row r="10" ht="24" customHeight="1">
      <x:c r="A10" s="33" t="str">
        <x:v>四条必须保留的解释规则</x:v>
      </x:c>
      <x:c r="B10" s="33"/>
      <x:c r="C10" s="33"/>
      <x:c r="D10" s="33"/>
      <x:c r="E10" s="33"/>
      <x:c r="F10" s="33"/>
    </x:row>
    <x:row r="11" ht="30" customHeight="1">
      <x:c r="A11" s="19" t="str">
        <x:v>ID</x:v>
      </x:c>
      <x:c r="B11" s="20" t="str">
        <x:v>问题</x:v>
      </x:c>
      <x:c r="C11" s="20" t="str">
        <x:v>正确处理</x:v>
      </x:c>
      <x:c r="D11" s="20" t="str">
        <x:v>错误做法</x:v>
      </x:c>
      <x:c r="E11" s="20" t="str">
        <x:v>Schema改动</x:v>
      </x:c>
      <x:c r="F11" s="21" t="str">
        <x:v>状态</x:v>
      </x:c>
    </x:row>
    <x:row r="12">
      <x:c r="A12" s="29" t="str">
        <x:v>B01</x:v>
      </x:c>
      <x:c r="B12" s="29" t="str">
        <x:v>早期股本变化缺口</x:v>
      </x:c>
      <x:c r="C12" s="29" t="str">
        <x:v>用KNOWN_LOWER_BOUND与CV032标记</x:v>
      </x:c>
      <x:c r="D12" s="29" t="str">
        <x:v>把11轮称为完整历史</x:v>
      </x:c>
      <x:c r="E12" s="29" t="str">
        <x:v>否</x:v>
      </x:c>
      <x:c r="F12" s="29" t="str">
        <x:v>接受限制</x:v>
      </x:c>
    </x:row>
    <x:row r="13">
      <x:c r="A13" s="30" t="str">
        <x:v>B02</x:v>
      </x:c>
      <x:c r="B13" s="30" t="str">
        <x:v>复合事件</x:v>
      </x:c>
      <x:c r="C13" s="30" t="str">
        <x:v>事件COMPOUND，交易分拆</x:v>
      </x:c>
      <x:c r="D13" s="30" t="str">
        <x:v>只保留增资或转让</x:v>
      </x:c>
      <x:c r="E13" s="30" t="str">
        <x:v>否</x:v>
      </x:c>
      <x:c r="F13" s="30" t="str">
        <x:v>已解决</x:v>
      </x:c>
    </x:row>
    <x:row r="14">
      <x:c r="A14" s="30" t="str">
        <x:v>B03</x:v>
      </x:c>
      <x:c r="B14" s="30" t="str">
        <x:v>同月多轮</x:v>
      </x:c>
      <x:c r="C14" s="30" t="str">
        <x:v>按独立event_id保留</x:v>
      </x:c>
      <x:c r="D14" s="30" t="str">
        <x:v>仅按月份去重</x:v>
      </x:c>
      <x:c r="E14" s="30" t="str">
        <x:v>否</x:v>
      </x:c>
      <x:c r="F14" s="30" t="str">
        <x:v>已解决</x:v>
      </x:c>
    </x:row>
    <x:row r="15">
      <x:c r="A15" s="31" t="str">
        <x:v>B04</x:v>
      </x:c>
      <x:c r="B15" s="31" t="str">
        <x:v>备案基金与非备案平台并存</x:v>
      </x:c>
      <x:c r="C15" s="31" t="str">
        <x:v>以基金备案表确认29家</x:v>
      </x:c>
      <x:c r="D15" s="31" t="str">
        <x:v>按名称一律计PE/VC</x:v>
      </x:c>
      <x:c r="E15" s="31" t="str">
        <x:v>否</x:v>
      </x:c>
      <x:c r="F15" s="31" t="str">
        <x:v>已解决</x:v>
      </x:c>
    </x:row>
  </x:sheetData>
  <x:mergeCells>
    <x:mergeCell ref="A1:F1"/>
    <x:mergeCell ref="A2:F2"/>
    <x:mergeCell ref="A10:F10"/>
  </x:mergeCells>
  <x:pageMargins left="0.7" right="0.7" top="0.75" bottom="0.75" header="0.3" footer="0.3"/>
</x:worksheet>
</file>