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0db7af457d4e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阶段说明" sheetId="1" r:id="R9c770fa9419b4270"/>
    <x:sheet xmlns:r="http://schemas.openxmlformats.org/officeDocument/2006/relationships" name="公司选择" sheetId="2" r:id="Rb706f3493e754123"/>
    <x:sheet xmlns:r="http://schemas.openxmlformats.org/officeDocument/2006/relationships" name="变量计算" sheetId="3" r:id="Rb609bb6198054080"/>
    <x:sheet xmlns:r="http://schemas.openxmlformats.org/officeDocument/2006/relationships" name="32变量结果" sheetId="4" r:id="R2010ea076055448d"/>
    <x:sheet xmlns:r="http://schemas.openxmlformats.org/officeDocument/2006/relationships" name="复用性评估" sheetId="5" r:id="Re5fb472482894a39"/>
    <x:sheet xmlns:r="http://schemas.openxmlformats.org/officeDocument/2006/relationships" name="companies" sheetId="6" r:id="R67fa472722c245b2"/>
    <x:sheet xmlns:r="http://schemas.openxmlformats.org/officeDocument/2006/relationships" name="financing_events" sheetId="7" r:id="R26e8f45eba474935"/>
    <x:sheet xmlns:r="http://schemas.openxmlformats.org/officeDocument/2006/relationships" name="transactions" sheetId="8" r:id="R35808ef2349d4262"/>
    <x:sheet xmlns:r="http://schemas.openxmlformats.org/officeDocument/2006/relationships" name="entities" sheetId="9" r:id="Rf21b929ca10f4b65"/>
    <x:sheet xmlns:r="http://schemas.openxmlformats.org/officeDocument/2006/relationships" name="transaction_parties" sheetId="10" r:id="R8c375437632c41e6"/>
    <x:sheet xmlns:r="http://schemas.openxmlformats.org/officeDocument/2006/relationships" name="evidence" sheetId="11" r:id="R88757bded11b4ad9"/>
    <x:sheet xmlns:r="http://schemas.openxmlformats.org/officeDocument/2006/relationships" name="numeric_validation" sheetId="12" r:id="R5a39e4a60cda4e43"/>
    <x:sheet xmlns:r="http://schemas.openxmlformats.org/officeDocument/2006/relationships" name="investment_paths" sheetId="13" r:id="Re5e71d8fe75d41a1"/>
    <x:sheet xmlns:r="http://schemas.openxmlformats.org/officeDocument/2006/relationships" name="validation_issues" sheetId="14" r:id="Rcfe1e0f8691545b5"/>
    <x:sheet xmlns:r="http://schemas.openxmlformats.org/officeDocument/2006/relationships" name="验收检查" sheetId="15" r:id="Red2368c259d34150"/>
    <x:sheet xmlns:r="http://schemas.openxmlformats.org/officeDocument/2006/relationships" name="来源与边界" sheetId="16" r:id="Ref5197658c0b4a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"/>
    <x:numFmt numFmtId="201" formatCode="#,##0.000000"/>
    <x:numFmt numFmtId="202" formatCode="0"/>
    <x:numFmt numFmtId="203" formatCode="0.00%"/>
    <x:numFmt numFmtId="204" formatCode="0.00"/>
    <x:numFmt numFmtId="205" formatCode="0.0000%"/>
  </x:numFmts>
  <x:fonts count="9">
    <x:font>
      <x:sz val="11"/>
      <x:name val="Carlito"/>
    </x:font>
    <x:font>
      <x:b/>
      <x:sz val="15"/>
      <x:color rgb="FFFFFFFF"/>
      <x:name val="Noto Sans SC"/>
    </x:font>
    <x:font>
      <x:i/>
      <x:sz val="10"/>
      <x:color rgb="FF666666"/>
      <x:name val="Noto Sans SC"/>
    </x:font>
    <x:font>
      <x:b/>
      <x:sz val="11"/>
      <x:color rgb="FFFFFFFF"/>
      <x:name val="Noto Sans SC"/>
    </x:font>
    <x:font>
      <x:sz val="10"/>
      <x:color rgb="FF404040"/>
      <x:name val="Noto Sans SC"/>
    </x:font>
    <x:font>
      <x:b/>
      <x:sz val="11"/>
      <x:color rgb="FF9C6500"/>
      <x:name val="Noto Sans SC"/>
    </x:font>
    <x:font>
      <x:b/>
      <x:sz val="10"/>
      <x:color rgb="FF267326"/>
      <x:name val="Noto Sans SC"/>
    </x:font>
    <x:font>
      <x:sz val="10"/>
      <x:color rgb="FF267326"/>
      <x:name val="Noto Sans SC"/>
    </x:font>
    <x:font>
      <x:sz val="11"/>
      <x:name val="Noto Sans SC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16847B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7">
    <x:border/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  <x:border>
      <x:bottom style="thin">
        <x:color rgb="FFD9E1F2"/>
      </x:bottom>
    </x:border>
    <x:border>
      <x:top style="thin">
        <x:color rgb="FFD9E1F2"/>
      </x:top>
      <x:bottom style="thin">
        <x:color rgb="FFD9E1F2"/>
      </x:bottom>
    </x:border>
    <x:border>
      <x:top style="thin">
        <x:color rgb="FFD9E1F2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200" fontId="4" fillId="0" borderId="5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horizontal="center" vertical="top" wrapText="1"/>
    </x:xf>
    <x:xf numFmtId="0" fontId="6" fillId="6" borderId="5" xfId="0" applyNumberFormat="1" applyFont="1" applyFill="1" applyBorder="1" applyAlignment="1">
      <x:alignment horizontal="center" vertical="top" wrapText="1"/>
    </x:xf>
    <x:xf numFmtId="0" fontId="6" fillId="6" borderId="6" xfId="0" applyNumberFormat="1" applyFont="1" applyFill="1" applyBorder="1" applyAlignment="1">
      <x:alignment horizontal="center" vertical="top" wrapText="1"/>
    </x:xf>
    <x:xf numFmtId="201" fontId="4" fillId="0" borderId="4" xfId="0" applyNumberFormat="1" applyFont="1" applyFill="1" applyBorder="1" applyAlignment="1">
      <x:alignment vertical="top" wrapText="1"/>
    </x:xf>
    <x:xf numFmtId="201" fontId="4" fillId="0" borderId="5" xfId="0" applyNumberFormat="1" applyFont="1" applyFill="1" applyBorder="1" applyAlignment="1">
      <x:alignment vertical="top" wrapText="1"/>
    </x:xf>
    <x:xf numFmtId="201" fontId="4" fillId="0" borderId="6" xfId="0" applyNumberFormat="1" applyFont="1" applyFill="1" applyBorder="1" applyAlignment="1">
      <x:alignment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4" fillId="0" borderId="5" xfId="0" applyNumberFormat="1" applyFont="1" applyFill="1" applyBorder="1" applyAlignment="1">
      <x:alignment vertical="top" wrapText="1"/>
    </x:xf>
    <x:xf numFmtId="203" fontId="4" fillId="0" borderId="5" xfId="0" applyNumberFormat="1" applyFont="1" applyFill="1" applyBorder="1" applyAlignment="1">
      <x:alignment vertical="top" wrapText="1"/>
    </x:xf>
    <x:xf numFmtId="204" fontId="4" fillId="0" borderId="5" xfId="0" applyNumberFormat="1" applyFont="1" applyFill="1" applyBorder="1" applyAlignment="1">
      <x:alignment vertical="top" wrapText="1"/>
    </x:xf>
    <x:xf numFmtId="202" fontId="4" fillId="0" borderId="6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horizontal="center" vertical="top" wrapText="1"/>
    </x:xf>
    <x:xf numFmtId="0" fontId="7" fillId="6" borderId="5" xfId="0" applyNumberFormat="1" applyFont="1" applyFill="1" applyBorder="1" applyAlignment="1">
      <x:alignment horizontal="center" vertical="top" wrapText="1"/>
    </x:xf>
    <x:xf numFmtId="0" fontId="7" fillId="6" borderId="6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1" fontId="4" fillId="0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4" fillId="0" borderId="4" xfId="0" applyNumberFormat="1" applyFont="1" applyFill="1" applyBorder="1" applyAlignment="1">
      <x:alignment vertical="top" wrapText="1"/>
    </x:xf>
    <x:xf numFmtId="205" fontId="4" fillId="0" borderId="5" xfId="0" applyNumberFormat="1" applyFont="1" applyFill="1" applyBorder="1" applyAlignment="1">
      <x:alignment vertical="top" wrapText="1"/>
    </x:xf>
    <x:xf numFmtId="205" fontId="4" fillId="0" borderId="6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267326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b4cdde7ebf481b" /><Relationship Type="http://schemas.openxmlformats.org/officeDocument/2006/relationships/theme" Target="/xl/theme/theme1.xml" Id="Ra031bcb331b246e3" /><Relationship Type="http://schemas.microsoft.com/office/2022/11/relationships/FeaturePropertyBag" Target="/xl/featurePropertyBag/featurePropertyBag.xml" Id="R875aa63b6ef746dc" /><Relationship Type="http://schemas.openxmlformats.org/officeDocument/2006/relationships/sharedStrings" Target="/xl/sharedStrings.xml" Id="R01e18adae3e14bd5" /><Relationship Type="http://schemas.openxmlformats.org/officeDocument/2006/relationships/worksheet" Target="/xl/worksheets/sheet1.xml" Id="R9c770fa9419b4270" /><Relationship Type="http://schemas.openxmlformats.org/officeDocument/2006/relationships/worksheet" Target="/xl/worksheets/sheet2.xml" Id="Rb706f3493e754123" /><Relationship Type="http://schemas.openxmlformats.org/officeDocument/2006/relationships/worksheet" Target="/xl/worksheets/sheet3.xml" Id="Rb609bb6198054080" /><Relationship Type="http://schemas.openxmlformats.org/officeDocument/2006/relationships/worksheet" Target="/xl/worksheets/sheet4.xml" Id="R2010ea076055448d" /><Relationship Type="http://schemas.openxmlformats.org/officeDocument/2006/relationships/worksheet" Target="/xl/worksheets/sheet5.xml" Id="Re5fb472482894a39" /><Relationship Type="http://schemas.openxmlformats.org/officeDocument/2006/relationships/worksheet" Target="/xl/worksheets/sheet6.xml" Id="R67fa472722c245b2" /><Relationship Type="http://schemas.openxmlformats.org/officeDocument/2006/relationships/worksheet" Target="/xl/worksheets/sheet7.xml" Id="R26e8f45eba474935" /><Relationship Type="http://schemas.openxmlformats.org/officeDocument/2006/relationships/worksheet" Target="/xl/worksheets/sheet8.xml" Id="R35808ef2349d4262" /><Relationship Type="http://schemas.openxmlformats.org/officeDocument/2006/relationships/worksheet" Target="/xl/worksheets/sheet9.xml" Id="Rf21b929ca10f4b65" /><Relationship Type="http://schemas.openxmlformats.org/officeDocument/2006/relationships/worksheet" Target="/xl/worksheets/sheet10.xml" Id="R8c375437632c41e6" /><Relationship Type="http://schemas.openxmlformats.org/officeDocument/2006/relationships/worksheet" Target="/xl/worksheets/sheet11.xml" Id="R88757bded11b4ad9" /><Relationship Type="http://schemas.openxmlformats.org/officeDocument/2006/relationships/worksheet" Target="/xl/worksheets/sheet12.xml" Id="R5a39e4a60cda4e43" /><Relationship Type="http://schemas.openxmlformats.org/officeDocument/2006/relationships/worksheet" Target="/xl/worksheets/sheet13.xml" Id="Re5e71d8fe75d41a1" /><Relationship Type="http://schemas.openxmlformats.org/officeDocument/2006/relationships/worksheet" Target="/xl/worksheets/sheet14.xml" Id="Rcfe1e0f8691545b5" /><Relationship Type="http://schemas.openxmlformats.org/officeDocument/2006/relationships/worksheet" Target="/xl/worksheets/sheet15.xml" Id="Red2368c259d34150" /><Relationship Type="http://schemas.openxmlformats.org/officeDocument/2006/relationships/worksheet" Target="/xl/worksheets/sheet16.xml" Id="Ref5197658c0b4af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2" hidden="0" customWidth="1"/>
    <x:col min="4" max="4" width="26" hidden="0" customWidth="1"/>
    <x:col min="5" max="5" width="22" hidden="0" customWidth="1"/>
    <x:col min="6" max="6" width="26" hidden="0" customWidth="1"/>
    <x:col min="7" max="7" width="22" hidden="0" customWidth="1"/>
    <x:col min="8" max="8" width="32" hidden="0" customWidth="1"/>
  </x:cols>
  <x:sheetData>
    <x:row r="1" ht="30" customHeight="1">
      <x:c r="A1" s="3" t="str">
        <x:v>Week 11 · 第九家公司扩展性验证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冻结Week 8—10成果，选择绿联科技（301606）作为第九家公司，以正式招股说明书为唯一主要事实来源，检验9张标准表和32个变量能否直接复用。</x:v>
      </x:c>
      <x:c r="B2" s="7"/>
      <x:c r="C2" s="7"/>
      <x:c r="D2" s="7"/>
      <x:c r="E2" s="7"/>
      <x:c r="F2" s="7"/>
      <x:c r="G2" s="7"/>
      <x:c r="H2" s="7"/>
    </x:row>
    <x:row r="3">
      <x:c r="A3" s="78"/>
      <x:c r="B3" s="78"/>
      <x:c r="C3" s="78"/>
      <x:c r="D3" s="78"/>
      <x:c r="E3" s="78"/>
      <x:c r="F3" s="78"/>
      <x:c r="G3" s="78"/>
      <x:c r="H3" s="78"/>
    </x:row>
    <x:row r="4" ht="30" customHeight="1">
      <x:c r="A4" s="19" t="str">
        <x:v>输入</x:v>
      </x:c>
      <x:c r="B4" s="20" t="str">
        <x:v>结果</x:v>
      </x:c>
      <x:c r="C4" s="20" t="str">
        <x:v>输入</x:v>
      </x:c>
      <x:c r="D4" s="20" t="str">
        <x:v>结果</x:v>
      </x:c>
      <x:c r="E4" s="20" t="str">
        <x:v>输入</x:v>
      </x:c>
      <x:c r="F4" s="20" t="str">
        <x:v>结果</x:v>
      </x:c>
      <x:c r="G4" s="20" t="str">
        <x:v>输入</x:v>
      </x:c>
      <x:c r="H4" s="21" t="str">
        <x:v>结果</x:v>
      </x:c>
    </x:row>
    <x:row r="5">
      <x:c r="A5" s="29" t="str">
        <x:v>基线Schema</x:v>
      </x:c>
      <x:c r="B5" s="29" t="str">
        <x:v>Week 8 v1.0</x:v>
      </x:c>
      <x:c r="C5" s="29" t="str">
        <x:v>标准表</x:v>
      </x:c>
      <x:c r="D5" s="29" t="n">
        <x:v>9</x:v>
      </x:c>
      <x:c r="E5" s="29" t="str">
        <x:v>冻结变量</x:v>
      </x:c>
      <x:c r="F5" s="29" t="n">
        <x:v>32</x:v>
      </x:c>
      <x:c r="G5" s="29" t="str">
        <x:v>新增公司</x:v>
      </x:c>
      <x:c r="H5" s="29" t="str">
        <x:v>绿联科技</x:v>
      </x:c>
    </x:row>
    <x:row r="6">
      <x:c r="A6" s="30" t="str">
        <x:v>融资轮数</x:v>
      </x:c>
      <x:c r="B6" s="30" t="n">
        <x:v>5</x:v>
      </x:c>
      <x:c r="C6" s="30" t="str">
        <x:v>发行人融资</x:v>
      </x:c>
      <x:c r="D6" s="32" t="n">
        <x:v>32838.569999</x:v>
      </x:c>
      <x:c r="E6" s="32" t="str">
        <x:v>老股转让</x:v>
      </x:c>
      <x:c r="F6" s="32" t="n">
        <x:v>30000</x:v>
      </x:c>
      <x:c r="G6" s="30" t="str">
        <x:v>确认PE/VC</x:v>
      </x:c>
      <x:c r="H6" s="30" t="n">
        <x:v>2</x:v>
      </x:c>
    </x:row>
    <x:row r="7">
      <x:c r="A7" s="31" t="str">
        <x:v>变量可计算</x:v>
      </x:c>
      <x:c r="B7" s="31" t="n">
        <x:v>32</x:v>
      </x:c>
      <x:c r="C7" s="31" t="str">
        <x:v>Schema改动</x:v>
      </x:c>
      <x:c r="D7" s="31" t="n">
        <x:v>0</x:v>
      </x:c>
      <x:c r="E7" s="31" t="str">
        <x:v>数值FAIL</x:v>
      </x:c>
      <x:c r="F7" s="31" t="n">
        <x:v>0</x:v>
      </x:c>
      <x:c r="G7" s="31" t="str">
        <x:v>最终判断</x:v>
      </x:c>
      <x:c r="H7" s="31" t="str">
        <x:v>无需v1.1</x:v>
      </x:c>
    </x:row>
    <x:row r="8">
      <x:c r="A8" s="78"/>
      <x:c r="B8" s="78"/>
      <x:c r="C8" s="78"/>
      <x:c r="D8" s="78"/>
      <x:c r="E8" s="78"/>
      <x:c r="F8" s="78"/>
      <x:c r="G8" s="78"/>
      <x:c r="H8" s="78"/>
    </x:row>
    <x:row r="9" ht="24" customHeight="1">
      <x:c r="A9" s="33" t="str">
        <x:v>本阶段操作顺序</x:v>
      </x:c>
      <x:c r="B9" s="33"/>
      <x:c r="C9" s="33"/>
      <x:c r="D9" s="33"/>
      <x:c r="E9" s="33"/>
      <x:c r="F9" s="33"/>
      <x:c r="G9" s="33"/>
      <x:c r="H9" s="33"/>
    </x:row>
    <x:row r="10">
      <x:c r="A10" s="29" t="str">
        <x:v>1</x:v>
      </x:c>
      <x:c r="B10" s="29" t="str">
        <x:v>选择公司</x:v>
      </x:c>
      <x:c r="C10" s="29" t="str">
        <x:v>2</x:v>
      </x:c>
      <x:c r="D10" s="29" t="str">
        <x:v>取得正式招股书</x:v>
      </x:c>
      <x:c r="E10" s="29" t="str">
        <x:v>3</x:v>
      </x:c>
      <x:c r="F10" s="29" t="str">
        <x:v>按原口径提取</x:v>
      </x:c>
      <x:c r="G10" s="29" t="str">
        <x:v>4</x:v>
      </x:c>
      <x:c r="H10" s="29" t="str">
        <x:v>运行扩展性判断</x:v>
      </x:c>
    </x:row>
    <x:row r="11">
      <x:c r="A11" s="31" t="str">
        <x:v>5</x:v>
      </x:c>
      <x:c r="B11" s="31" t="str">
        <x:v>生成9张标准表</x:v>
      </x:c>
      <x:c r="C11" s="31" t="str">
        <x:v>6</x:v>
      </x:c>
      <x:c r="D11" s="31" t="str">
        <x:v>计算32变量</x:v>
      </x:c>
      <x:c r="E11" s="31" t="str">
        <x:v>7</x:v>
      </x:c>
      <x:c r="F11" s="31" t="str">
        <x:v>结构与数值校验</x:v>
      </x:c>
      <x:c r="G11" s="31" t="str">
        <x:v>8</x:v>
      </x:c>
      <x:c r="H11" s="31" t="str">
        <x:v>决定是否v1.1</x:v>
      </x:c>
    </x:row>
    <x:row r="12">
      <x:c r="A12" s="78"/>
      <x:c r="B12" s="78"/>
      <x:c r="C12" s="78"/>
      <x:c r="D12" s="78"/>
      <x:c r="E12" s="78"/>
      <x:c r="F12" s="78"/>
      <x:c r="G12" s="78"/>
      <x:c r="H12" s="78"/>
    </x:row>
    <x:row r="13" ht="32" customHeight="1">
      <x:c r="A13" s="37" t="str">
        <x:v>结论：绿联科技的员工平台增资、机构定向发行、高瓴老股受让及后续增资均可由现有结构表达。9张表全部复用，32个变量全部完成有效判断；仅需补充同月多轮、受让先于融资轮以及直接投资载体的解释规则，不需要修改Schema。</x:v>
      </x:c>
      <x:c r="B13" s="37"/>
      <x:c r="C13" s="37"/>
      <x:c r="D13" s="37"/>
      <x:c r="E13" s="37"/>
      <x:c r="F13" s="37"/>
      <x:c r="G13" s="37"/>
      <x:c r="H13" s="37"/>
    </x:row>
    <x:row r="14" ht="32" customHeight="1">
      <x:c r="A14" s="37"/>
      <x:c r="B14" s="37"/>
      <x:c r="C14" s="37"/>
      <x:c r="D14" s="37"/>
      <x:c r="E14" s="37"/>
      <x:c r="F14" s="37"/>
      <x:c r="G14" s="37"/>
      <x:c r="H14" s="37"/>
    </x:row>
  </x:sheetData>
  <x:mergeCells>
    <x:mergeCell ref="A1:H1"/>
    <x:mergeCell ref="A2:H2"/>
    <x:mergeCell ref="A9:H9"/>
    <x:mergeCell ref="A13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8" hidden="0" customWidth="1"/>
    <x:col min="3" max="3" width="40" hidden="0" customWidth="1"/>
    <x:col min="4" max="4" width="14" hidden="0" customWidth="1"/>
    <x:col min="5" max="5" width="36" hidden="0" customWidth="1"/>
    <x:col min="6" max="6" width="38" hidden="0" customWidth="1"/>
    <x:col min="7" max="7" width="16" hidden="0" customWidth="1"/>
  </x:cols>
  <x:sheetData>
    <x:row r="1" ht="30" customHeight="1">
      <x:c r="A1" s="3" t="str">
        <x:v>第九家公司选择依据</x:v>
      </x:c>
      <x:c r="B1" s="3"/>
      <x:c r="C1" s="3"/>
      <x:c r="D1" s="3"/>
      <x:c r="E1" s="3"/>
      <x:c r="F1" s="3"/>
      <x:c r="G1" s="3"/>
    </x:row>
    <x:row r="2" ht="34" customHeight="1">
      <x:c r="A2" s="7" t="str">
        <x:v>选择目标是检验扩展性，而不是追求最简单或最复杂案例。</x:v>
      </x:c>
      <x:c r="B2" s="7"/>
      <x:c r="C2" s="7"/>
      <x:c r="D2" s="7"/>
      <x:c r="E2" s="7"/>
      <x:c r="F2" s="7"/>
      <x:c r="G2" s="7"/>
    </x:row>
    <x:row r="3">
      <x:c r="A3" s="78"/>
      <x:c r="B3" s="78"/>
      <x:c r="C3" s="78"/>
      <x:c r="D3" s="78"/>
      <x:c r="E3" s="78"/>
      <x:c r="F3" s="78"/>
      <x:c r="G3" s="78"/>
    </x:row>
    <x:row r="4" ht="30" customHeight="1">
      <x:c r="A4" s="19" t="str">
        <x:v>候选维度</x:v>
      </x:c>
      <x:c r="B4" s="20" t="str">
        <x:v>绿联科技表现</x:v>
      </x:c>
      <x:c r="C4" s="20" t="str">
        <x:v>检验价值</x:v>
      </x:c>
      <x:c r="D4" s="20" t="str">
        <x:v>是否满足</x:v>
      </x:c>
      <x:c r="E4" s="20" t="str">
        <x:v>风险</x:v>
      </x:c>
      <x:c r="F4" s="20" t="str">
        <x:v>处理方式</x:v>
      </x:c>
      <x:c r="G4" s="21" t="str">
        <x:v>结论</x:v>
      </x:c>
    </x:row>
    <x:row r="5">
      <x:c r="A5" s="29" t="str">
        <x:v>来源完整性</x:v>
      </x:c>
      <x:c r="B5" s="29" t="str">
        <x:v>2024年正式招股说明书，共573页</x:v>
      </x:c>
      <x:c r="C5" s="29" t="str">
        <x:v>可重建事件、股东与路径</x:v>
      </x:c>
      <x:c r="D5" s="44" t="str">
        <x:v>是</x:v>
      </x:c>
      <x:c r="E5" s="29" t="str">
        <x:v>图示信息需视觉读取</x:v>
      </x:c>
      <x:c r="F5" s="29" t="str">
        <x:v>图示与正文交叉核对</x:v>
      </x:c>
      <x:c r="G5" s="29" t="str">
        <x:v>通过</x:v>
      </x:c>
    </x:row>
    <x:row r="6">
      <x:c r="A6" s="30" t="str">
        <x:v>融资结构</x:v>
      </x:c>
      <x:c r="B6" s="30" t="str">
        <x:v>5轮直接股权融资</x:v>
      </x:c>
      <x:c r="C6" s="30" t="str">
        <x:v>检验多轮节奏和金额变量</x:v>
      </x:c>
      <x:c r="D6" s="45" t="str">
        <x:v>是</x:v>
      </x:c>
      <x:c r="E6" s="30" t="str">
        <x:v>同月两轮可能误合并</x:v>
      </x:c>
      <x:c r="F6" s="30" t="str">
        <x:v>以决议与认购对象分事件</x:v>
      </x:c>
      <x:c r="G6" s="30" t="str">
        <x:v>通过</x:v>
      </x:c>
    </x:row>
    <x:row r="7">
      <x:c r="A7" s="30" t="str">
        <x:v>一级/二级交易</x:v>
      </x:c>
      <x:c r="B7" s="30" t="str">
        <x:v>既有发行人增资，也有3亿元老股受让</x:v>
      </x:c>
      <x:c r="C7" s="30" t="str">
        <x:v>检验资金流归属</x:v>
      </x:c>
      <x:c r="D7" s="45" t="str">
        <x:v>是</x:v>
      </x:c>
      <x:c r="E7" s="30" t="str">
        <x:v>可能把转让计入融资</x:v>
      </x:c>
      <x:c r="F7" s="30" t="str">
        <x:v>交易类型强制分离</x:v>
      </x:c>
      <x:c r="G7" s="30" t="str">
        <x:v>通过</x:v>
      </x:c>
    </x:row>
    <x:row r="8">
      <x:c r="A8" s="30" t="str">
        <x:v>PE/VC结构</x:v>
      </x:c>
      <x:c r="B8" s="30" t="str">
        <x:v>高瓴受让后继续增资；坚果核力为备案基金</x:v>
      </x:c>
      <x:c r="C8" s="30" t="str">
        <x:v>检验身份、时点和进入方式</x:v>
      </x:c>
      <x:c r="D8" s="45" t="str">
        <x:v>是</x:v>
      </x:c>
      <x:c r="E8" s="30" t="str">
        <x:v>直接载体不一定自身备案</x:v>
      </x:c>
      <x:c r="F8" s="30" t="str">
        <x:v>保留直接载体与底层依据</x:v>
      </x:c>
      <x:c r="G8" s="30" t="str">
        <x:v>通过</x:v>
      </x:c>
    </x:row>
    <x:row r="9">
      <x:c r="A9" s="31" t="str">
        <x:v>复杂度</x:v>
      </x:c>
      <x:c r="B9" s="31" t="str">
        <x:v>中等：9个历史事件、11个直接主体</x:v>
      </x:c>
      <x:c r="C9" s="31" t="str">
        <x:v>足以暴露边界且可闭合</x:v>
      </x:c>
      <x:c r="D9" s="46" t="str">
        <x:v>是</x:v>
      </x:c>
      <x:c r="E9" s="31" t="str">
        <x:v>不代表全部新增公司</x:v>
      </x:c>
      <x:c r="F9" s="31" t="str">
        <x:v>Week11同周再选异质第十家</x:v>
      </x:c>
      <x:c r="G9" s="31" t="str">
        <x:v>通过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7" hidden="0" customWidth="1"/>
    <x:col min="3" max="3" width="28" hidden="0" customWidth="1"/>
    <x:col min="4" max="4" width="19" hidden="0" customWidth="1"/>
    <x:col min="5" max="5" width="24" hidden="0" customWidth="1"/>
    <x:col min="6" max="6" width="20" hidden="0" customWidth="1"/>
    <x:col min="7" max="7" width="30" hidden="0" customWidth="1"/>
  </x:cols>
  <x:sheetData>
    <x:row r="1" ht="30" customHeight="1">
      <x:c r="A1" s="3" t="str">
        <x:v>32变量的可审计计算输入</x:v>
      </x:c>
      <x:c r="B1" s="3"/>
      <x:c r="C1" s="3"/>
      <x:c r="D1" s="3"/>
      <x:c r="E1" s="3"/>
      <x:c r="F1" s="3"/>
      <x:c r="G1" s="3"/>
    </x:row>
    <x:row r="2" ht="34" customHeight="1">
      <x:c r="A2" s="7" t="str">
        <x:v>所有派生值均从下列已核验事实计算；金额单位为万元人民币，日期按原披露精度保留到月。</x:v>
      </x:c>
      <x:c r="B2" s="7"/>
      <x:c r="C2" s="7"/>
      <x:c r="D2" s="7"/>
      <x:c r="E2" s="7"/>
      <x:c r="F2" s="7"/>
      <x:c r="G2" s="7"/>
    </x:row>
    <x:row r="3">
      <x:c r="A3" s="78"/>
      <x:c r="B3" s="78"/>
      <x:c r="C3" s="78"/>
      <x:c r="D3" s="78"/>
      <x:c r="E3" s="78"/>
      <x:c r="F3" s="78"/>
      <x:c r="G3" s="78"/>
    </x:row>
    <x:row r="4" ht="24" customHeight="1">
      <x:c r="A4" s="33" t="str">
        <x:v>五轮融资输入</x:v>
      </x:c>
      <x:c r="B4" s="33"/>
      <x:c r="C4" s="33"/>
      <x:c r="D4" s="33"/>
      <x:c r="E4" s="33"/>
      <x:c r="F4" s="33"/>
      <x:c r="G4" s="33"/>
    </x:row>
    <x:row r="5" ht="30" customHeight="1">
      <x:c r="A5" s="19" t="str">
        <x:v>轮次</x:v>
      </x:c>
      <x:c r="B5" s="20" t="str">
        <x:v>日期</x:v>
      </x:c>
      <x:c r="C5" s="20" t="str">
        <x:v>金额</x:v>
      </x:c>
      <x:c r="D5" s="20" t="str">
        <x:v>金额来源</x:v>
      </x:c>
      <x:c r="E5" s="20" t="str">
        <x:v>计算型标记</x:v>
      </x:c>
      <x:c r="F5" s="20" t="str">
        <x:v>事件ID</x:v>
      </x:c>
      <x:c r="G5" s="21" t="str">
        <x:v>证据ID</x:v>
      </x:c>
    </x:row>
    <x:row r="6">
      <x:c r="A6" s="29" t="n">
        <x:v>1</x:v>
      </x:c>
      <x:c r="B6" s="29" t="str">
        <x:v>2017-10</x:v>
      </x:c>
      <x:c r="C6" s="47" t="n">
        <x:v>900</x:v>
      </x:c>
      <x:c r="D6" s="29" t="str">
        <x:v>CALCULATED</x:v>
      </x:c>
      <x:c r="E6" s="29" t="n">
        <x:v>1</x:v>
      </x:c>
      <x:c r="F6" s="29" t="str">
        <x:v>EVT-301606-0002</x:v>
      </x:c>
      <x:c r="G6" s="29" t="str">
        <x:v>EVD-301606-0002</x:v>
      </x:c>
    </x:row>
    <x:row r="7">
      <x:c r="A7" s="30" t="n">
        <x:v>2</x:v>
      </x:c>
      <x:c r="B7" s="30" t="str">
        <x:v>2018-12</x:v>
      </x:c>
      <x:c r="C7" s="48" t="n">
        <x:v>270.569999</x:v>
      </x:c>
      <x:c r="D7" s="30" t="str">
        <x:v>CALCULATED</x:v>
      </x:c>
      <x:c r="E7" s="30" t="n">
        <x:v>1</x:v>
      </x:c>
      <x:c r="F7" s="30" t="str">
        <x:v>EVT-301606-0003</x:v>
      </x:c>
      <x:c r="G7" s="30" t="str">
        <x:v>EVD-301606-0003</x:v>
      </x:c>
    </x:row>
    <x:row r="8">
      <x:c r="A8" s="30" t="n">
        <x:v>3</x:v>
      </x:c>
      <x:c r="B8" s="30" t="str">
        <x:v>2020-07</x:v>
      </x:c>
      <x:c r="C8" s="48" t="n">
        <x:v>1000</x:v>
      </x:c>
      <x:c r="D8" s="30" t="str">
        <x:v>DISCLOSED</x:v>
      </x:c>
      <x:c r="E8" s="30" t="n">
        <x:v>0</x:v>
      </x:c>
      <x:c r="F8" s="30" t="str">
        <x:v>EVT-301606-0004</x:v>
      </x:c>
      <x:c r="G8" s="30" t="str">
        <x:v>EVD-301606-0004</x:v>
      </x:c>
    </x:row>
    <x:row r="9">
      <x:c r="A9" s="30" t="n">
        <x:v>4</x:v>
      </x:c>
      <x:c r="B9" s="30" t="str">
        <x:v>2021-06</x:v>
      </x:c>
      <x:c r="C9" s="48" t="n">
        <x:v>668</x:v>
      </x:c>
      <x:c r="D9" s="30" t="str">
        <x:v>DISCLOSED</x:v>
      </x:c>
      <x:c r="E9" s="30" t="n">
        <x:v>0</x:v>
      </x:c>
      <x:c r="F9" s="30" t="str">
        <x:v>EVT-301606-0007</x:v>
      </x:c>
      <x:c r="G9" s="30" t="str">
        <x:v>EVD-301606-0007</x:v>
      </x:c>
    </x:row>
    <x:row r="10">
      <x:c r="A10" s="31" t="n">
        <x:v>5</x:v>
      </x:c>
      <x:c r="B10" s="31" t="str">
        <x:v>2021-06</x:v>
      </x:c>
      <x:c r="C10" s="49" t="n">
        <x:v>30000</x:v>
      </x:c>
      <x:c r="D10" s="31" t="str">
        <x:v>DISCLOSED</x:v>
      </x:c>
      <x:c r="E10" s="31" t="n">
        <x:v>0</x:v>
      </x:c>
      <x:c r="F10" s="31" t="str">
        <x:v>EVT-301606-0008</x:v>
      </x:c>
      <x:c r="G10" s="31" t="str">
        <x:v>EVD-301606-0008</x:v>
      </x:c>
    </x:row>
    <x:row r="11">
      <x:c r="A11" s="78"/>
      <x:c r="B11" s="78"/>
      <x:c r="C11" s="78"/>
      <x:c r="D11" s="78"/>
      <x:c r="E11" s="78"/>
      <x:c r="F11" s="78"/>
      <x:c r="G11" s="78"/>
    </x:row>
    <x:row r="12" ht="24" customHeight="1">
      <x:c r="A12" s="33" t="str">
        <x:v>相邻融资月份差</x:v>
      </x:c>
      <x:c r="B12" s="33"/>
      <x:c r="C12" s="33"/>
      <x:c r="D12" s="33"/>
      <x:c r="E12" s="33"/>
      <x:c r="F12" s="33"/>
      <x:c r="G12" s="33"/>
    </x:row>
    <x:row r="13" ht="30" customHeight="1">
      <x:c r="A13" s="19" t="str">
        <x:v>区间</x:v>
      </x:c>
      <x:c r="B13" s="20" t="str">
        <x:v>月份差</x:v>
      </x:c>
      <x:c r="C13" s="20" t="str">
        <x:v>说明</x:v>
      </x:c>
      <x:c r="D13" s="20" t="str">
        <x:v>区间</x:v>
      </x:c>
      <x:c r="E13" s="20" t="str">
        <x:v>月份差</x:v>
      </x:c>
      <x:c r="F13" s="20" t="str">
        <x:v>说明</x:v>
      </x:c>
      <x:c r="G13" s="21" t="str">
        <x:v>用途</x:v>
      </x:c>
    </x:row>
    <x:row r="14">
      <x:c r="A14" s="29" t="str">
        <x:v>1→2</x:v>
      </x:c>
      <x:c r="B14" s="29" t="n">
        <x:v>14</x:v>
      </x:c>
      <x:c r="C14" s="29" t="str">
        <x:v>2017-10至2018-12</x:v>
      </x:c>
      <x:c r="D14" s="29" t="str">
        <x:v>2→3</x:v>
      </x:c>
      <x:c r="E14" s="29" t="n">
        <x:v>19</x:v>
      </x:c>
      <x:c r="F14" s="29" t="str">
        <x:v>2018-12至2020-07</x:v>
      </x:c>
      <x:c r="G14" s="29" t="str">
        <x:v>CV010</x:v>
      </x:c>
    </x:row>
    <x:row r="15">
      <x:c r="A15" s="31" t="str">
        <x:v>3→4</x:v>
      </x:c>
      <x:c r="B15" s="31" t="n">
        <x:v>23</x:v>
      </x:c>
      <x:c r="C15" s="31" t="str">
        <x:v>2020-07至2021-06</x:v>
      </x:c>
      <x:c r="D15" s="31" t="str">
        <x:v>4→5</x:v>
      </x:c>
      <x:c r="E15" s="31" t="n">
        <x:v>0</x:v>
      </x:c>
      <x:c r="F15" s="31" t="str">
        <x:v>同月不同决议</x:v>
      </x:c>
      <x:c r="G15" s="31" t="str">
        <x:v>CV010</x:v>
      </x:c>
    </x:row>
    <x:row r="16">
      <x:c r="A16" s="78"/>
      <x:c r="B16" s="78"/>
      <x:c r="C16" s="78"/>
      <x:c r="D16" s="78"/>
      <x:c r="E16" s="78"/>
      <x:c r="F16" s="78"/>
      <x:c r="G16" s="78"/>
    </x:row>
    <x:row r="17" ht="24" customHeight="1">
      <x:c r="A17" s="33" t="str">
        <x:v>其他计算输入</x:v>
      </x:c>
      <x:c r="B17" s="33"/>
      <x:c r="C17" s="33"/>
      <x:c r="D17" s="33"/>
      <x:c r="E17" s="33"/>
      <x:c r="F17" s="33"/>
      <x:c r="G17" s="33"/>
    </x:row>
    <x:row r="18" ht="30" customHeight="1">
      <x:c r="A18" s="19" t="str">
        <x:v>输入项</x:v>
      </x:c>
      <x:c r="B18" s="20" t="str">
        <x:v>值</x:v>
      </x:c>
      <x:c r="C18" s="20" t="str">
        <x:v>输入项</x:v>
      </x:c>
      <x:c r="D18" s="20" t="str">
        <x:v>值</x:v>
      </x:c>
      <x:c r="E18" s="20" t="str">
        <x:v>输入项</x:v>
      </x:c>
      <x:c r="F18" s="20" t="str">
        <x:v>值</x:v>
      </x:c>
      <x:c r="G18" s="21" t="str">
        <x:v>依据</x:v>
      </x:c>
    </x:row>
    <x:row r="19">
      <x:c r="A19" s="29" t="str">
        <x:v>融资轮数</x:v>
      </x:c>
      <x:c r="B19" s="29" t="n">
        <x:v>5</x:v>
      </x:c>
      <x:c r="C19" s="29" t="str">
        <x:v>直接主体数</x:v>
      </x:c>
      <x:c r="D19" s="29" t="n">
        <x:v>11</x:v>
      </x:c>
      <x:c r="E19" s="29" t="str">
        <x:v>确认PE/VC数</x:v>
      </x:c>
      <x:c r="F19" s="29" t="n">
        <x:v>2</x:v>
      </x:c>
      <x:c r="G19" s="29" t="str">
        <x:v>标准表计数</x:v>
      </x:c>
    </x:row>
    <x:row r="20">
      <x:c r="A20" s="30" t="str">
        <x:v>确认PE/VC融资轮数</x:v>
      </x:c>
      <x:c r="B20" s="30" t="n">
        <x:v>1</x:v>
      </x:c>
      <x:c r="C20" s="30" t="str">
        <x:v>首次进入</x:v>
      </x:c>
      <x:c r="D20" s="30" t="str">
        <x:v>2021-05</x:v>
      </x:c>
      <x:c r="E20" s="30" t="str">
        <x:v>首次进入年份</x:v>
      </x:c>
      <x:c r="F20" s="30" t="n">
        <x:v>2021</x:v>
      </x:c>
      <x:c r="G20" s="30" t="str">
        <x:v>路径表</x:v>
      </x:c>
    </x:row>
    <x:row r="21">
      <x:c r="A21" s="30" t="str">
        <x:v>首次PE/VC融资轮序位</x:v>
      </x:c>
      <x:c r="B21" s="30" t="n">
        <x:v>5</x:v>
      </x:c>
      <x:c r="C21" s="30" t="str">
        <x:v>间接路径标记</x:v>
      </x:c>
      <x:c r="D21" s="30" t="n">
        <x:v>0</x:v>
      </x:c>
      <x:c r="E21" s="30" t="str">
        <x:v>进入方式数</x:v>
      </x:c>
      <x:c r="F21" s="30" t="n">
        <x:v>2</x:v>
      </x:c>
      <x:c r="G21" s="30" t="str">
        <x:v>路径表</x:v>
      </x:c>
    </x:row>
    <x:row r="22">
      <x:c r="A22" s="30" t="str">
        <x:v>融资投资方数</x:v>
      </x:c>
      <x:c r="B22" s="30" t="n">
        <x:v>11</x:v>
      </x:c>
      <x:c r="C22" s="30" t="str">
        <x:v>融资方式数</x:v>
      </x:c>
      <x:c r="D22" s="30" t="n">
        <x:v>2</x:v>
      </x:c>
      <x:c r="E22" s="30" t="str">
        <x:v>转让交易数</x:v>
      </x:c>
      <x:c r="F22" s="30" t="n">
        <x:v>2</x:v>
      </x:c>
      <x:c r="G22" s="30" t="str">
        <x:v>交易与party表</x:v>
      </x:c>
    </x:row>
    <x:row r="23">
      <x:c r="A23" s="30" t="str">
        <x:v>转让对价</x:v>
      </x:c>
      <x:c r="B23" s="32" t="n">
        <x:v>30000</x:v>
      </x:c>
      <x:c r="C23" s="30" t="str">
        <x:v>日期已知轮数</x:v>
      </x:c>
      <x:c r="D23" s="30" t="n">
        <x:v>5</x:v>
      </x:c>
      <x:c r="E23" s="30" t="str">
        <x:v>融资证据数</x:v>
      </x:c>
      <x:c r="F23" s="30" t="n">
        <x:v>8</x:v>
      </x:c>
      <x:c r="G23" s="30" t="str">
        <x:v>证据表</x:v>
      </x:c>
    </x:row>
    <x:row r="24">
      <x:c r="A24" s="31" t="str">
        <x:v>披露限制标记</x:v>
      </x:c>
      <x:c r="B24" s="31" t="n">
        <x:v>0</x:v>
      </x:c>
      <x:c r="C24" s="31" t="str">
        <x:v>首次/末次月差</x:v>
      </x:c>
      <x:c r="D24" s="31" t="n">
        <x:v>44</x:v>
      </x:c>
      <x:c r="E24" s="31" t="str">
        <x:v>Schema变动项</x:v>
      </x:c>
      <x:c r="F24" s="31" t="n">
        <x:v>0</x:v>
      </x:c>
      <x:c r="G24" s="31" t="str">
        <x:v>复用性评估</x:v>
      </x:c>
    </x:row>
  </x:sheetData>
  <x:mergeCells>
    <x:mergeCell ref="A1:G1"/>
    <x:mergeCell ref="A2:G2"/>
    <x:mergeCell ref="A4:G4"/>
    <x:mergeCell ref="A12:G12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18" hidden="0" customWidth="1"/>
    <x:col min="5" max="5" width="18" hidden="0" customWidth="1"/>
    <x:col min="6" max="6" width="18" hidden="0" customWidth="1"/>
    <x:col min="7" max="7" width="45" hidden="0" customWidth="1"/>
    <x:col min="8" max="8" width="52" hidden="0" customWidth="1"/>
    <x:col min="9" max="9" width="34" hidden="0" customWidth="1"/>
    <x:col min="10" max="10" width="15" hidden="0" customWidth="1"/>
  </x:cols>
  <x:sheetData>
    <x:row r="1" ht="30" customHeight="1">
      <x:c r="A1" s="3" t="str">
        <x:v>绿联科技32个研究变量结果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7" t="str">
        <x:v>变量字典沿用Week 9冻结版本；D列为工作簿公式，warning列保存解释边界。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</x:row>
    <x:row r="4" ht="30" customHeight="1">
      <x:c r="A4" s="19" t="str">
        <x:v>变量ID</x:v>
      </x:c>
      <x:c r="B4" s="20" t="str">
        <x:v>中文名称</x:v>
      </x:c>
      <x:c r="C4" s="20" t="str">
        <x:v>研究构念</x:v>
      </x:c>
      <x:c r="D4" s="20" t="str">
        <x:v>计算值</x:v>
      </x:c>
      <x:c r="E4" s="20" t="str">
        <x:v>单位</x:v>
      </x:c>
      <x:c r="F4" s="20" t="str">
        <x:v>可用状态</x:v>
      </x:c>
      <x:c r="G4" s="20" t="str">
        <x:v>计算逻辑</x:v>
      </x:c>
      <x:c r="H4" s="20" t="str">
        <x:v>警告/解释边界</x:v>
      </x:c>
      <x:c r="I4" s="20" t="str">
        <x:v>证据边界</x:v>
      </x:c>
      <x:c r="J4" s="21" t="str">
        <x:v>优先级</x:v>
      </x:c>
    </x:row>
    <x:row r="5">
      <x:c r="A5" s="29" t="str">
        <x:v>CV001</x:v>
      </x:c>
      <x:c r="B5" s="29" t="str">
        <x:v>上市前直接股权融资发生标记</x:v>
      </x:c>
      <x:c r="C5" s="29" t="str">
        <x:v>融资经历</x:v>
      </x:c>
      <x:c r="D5" s="50" t="n">
        <x:f>IF('变量计算'!B19&gt;0,1,0)</x:f>
        <x:v>1</x:v>
      </x:c>
      <x:c r="E5" s="29" t="str">
        <x:v>0/1</x:v>
      </x:c>
      <x:c r="F5" s="58" t="str">
        <x:v>VALID</x:v>
      </x:c>
      <x:c r="G5" s="29" t="str">
        <x:v>IF(CV002&gt;0,1,0)</x:v>
      </x:c>
      <x:c r="H5" s="29"/>
      <x:c r="I5" s="29" t="str">
        <x:v>Week11绿联科技标准表与招股书页码证据</x:v>
      </x:c>
      <x:c r="J5" s="29" t="str">
        <x:v>A核心</x:v>
      </x:c>
    </x:row>
    <x:row r="6">
      <x:c r="A6" s="30" t="str">
        <x:v>CV002</x:v>
      </x:c>
      <x:c r="B6" s="30" t="str">
        <x:v>上市前直接股权融资轮数</x:v>
      </x:c>
      <x:c r="C6" s="30" t="str">
        <x:v>融资频度</x:v>
      </x:c>
      <x:c r="D6" s="51" t="n">
        <x:f>'变量计算'!B19</x:f>
        <x:v>5</x:v>
      </x:c>
      <x:c r="E6" s="30" t="str">
        <x:v>轮</x:v>
      </x:c>
      <x:c r="F6" s="59" t="str">
        <x:v>VALID</x:v>
      </x:c>
      <x:c r="G6" s="30" t="str">
        <x:v>COUNT(financing_round_flag=TRUE)</x:v>
      </x:c>
      <x:c r="H6" s="30"/>
      <x:c r="I6" s="30" t="str">
        <x:v>Week11绿联科技标准表与招股书页码证据</x:v>
      </x:c>
      <x:c r="J6" s="30" t="str">
        <x:v>A核心</x:v>
      </x:c>
    </x:row>
    <x:row r="7">
      <x:c r="A7" s="30" t="str">
        <x:v>CV003</x:v>
      </x:c>
      <x:c r="B7" s="30" t="str">
        <x:v>可核验融资金额下限</x:v>
      </x:c>
      <x:c r="C7" s="30" t="str">
        <x:v>融资规模</x:v>
      </x:c>
      <x:c r="D7" s="32" t="n">
        <x:f>SUM('变量计算'!C6:C10)</x:f>
        <x:v>32838.569999</x:v>
      </x:c>
      <x:c r="E7" s="30" t="str">
        <x:v>万元人民币</x:v>
      </x:c>
      <x:c r="F7" s="59" t="str">
        <x:v>VALID</x:v>
      </x:c>
      <x:c r="G7" s="30" t="str">
        <x:v>SUM(900,270.569999,1000,668,30000)</x:v>
      </x:c>
      <x:c r="H7" s="30"/>
      <x:c r="I7" s="30" t="str">
        <x:v>Week11绿联科技标准表与招股书页码证据</x:v>
      </x:c>
      <x:c r="J7" s="30" t="str">
        <x:v>A核心</x:v>
      </x:c>
    </x:row>
    <x:row r="8">
      <x:c r="A8" s="30" t="str">
        <x:v>CV004</x:v>
      </x:c>
      <x:c r="B8" s="30" t="str">
        <x:v>融资金额下限对数</x:v>
      </x:c>
      <x:c r="C8" s="30" t="str">
        <x:v>融资规模</x:v>
      </x:c>
      <x:c r="D8" s="32" t="n">
        <x:f>LN(1+D7)</x:f>
        <x:v>10.399389469662125</x:v>
      </x:c>
      <x:c r="E8" s="30" t="str">
        <x:v>ln(1+万元)</x:v>
      </x:c>
      <x:c r="F8" s="59" t="str">
        <x:v>VALID</x:v>
      </x:c>
      <x:c r="G8" s="30" t="str">
        <x:v>LN(1+CV003)</x:v>
      </x:c>
      <x:c r="H8" s="30"/>
      <x:c r="I8" s="30" t="str">
        <x:v>Week11绿联科技标准表与招股书页码证据</x:v>
      </x:c>
      <x:c r="J8" s="30" t="str">
        <x:v>B扩展</x:v>
      </x:c>
    </x:row>
    <x:row r="9">
      <x:c r="A9" s="30" t="str">
        <x:v>CV005</x:v>
      </x:c>
      <x:c r="B9" s="30" t="str">
        <x:v>已知金额轮次均值</x:v>
      </x:c>
      <x:c r="C9" s="30" t="str">
        <x:v>单轮融资规模</x:v>
      </x:c>
      <x:c r="D9" s="32" t="n">
        <x:f>AVERAGE('变量计算'!C6:C10)</x:f>
        <x:v>6567.7139998</x:v>
      </x:c>
      <x:c r="E9" s="30" t="str">
        <x:v>万元人民币/已知轮</x:v>
      </x:c>
      <x:c r="F9" s="59" t="str">
        <x:v>VALID</x:v>
      </x:c>
      <x:c r="G9" s="30" t="str">
        <x:v>CV003/CV027</x:v>
      </x:c>
      <x:c r="H9" s="30"/>
      <x:c r="I9" s="30" t="str">
        <x:v>Week11绿联科技标准表与招股书页码证据</x:v>
      </x:c>
      <x:c r="J9" s="30" t="str">
        <x:v>A核心</x:v>
      </x:c>
    </x:row>
    <x:row r="10">
      <x:c r="A10" s="30" t="str">
        <x:v>CV006</x:v>
      </x:c>
      <x:c r="B10" s="30" t="str">
        <x:v>已知金额轮次中位数</x:v>
      </x:c>
      <x:c r="C10" s="30" t="str">
        <x:v>单轮融资规模</x:v>
      </x:c>
      <x:c r="D10" s="32" t="n">
        <x:f>MEDIAN('变量计算'!C6:C10)</x:f>
        <x:v>900</x:v>
      </x:c>
      <x:c r="E10" s="30" t="str">
        <x:v>万元人民币/已知轮</x:v>
      </x:c>
      <x:c r="F10" s="59" t="str">
        <x:v>VALID</x:v>
      </x:c>
      <x:c r="G10" s="30" t="str">
        <x:v>MEDIAN(已知5轮金额)</x:v>
      </x:c>
      <x:c r="H10" s="30"/>
      <x:c r="I10" s="30" t="str">
        <x:v>Week11绿联科技标准表与招股书页码证据</x:v>
      </x:c>
      <x:c r="J10" s="30" t="str">
        <x:v>B扩展</x:v>
      </x:c>
    </x:row>
    <x:row r="11">
      <x:c r="A11" s="30" t="str">
        <x:v>CV007</x:v>
      </x:c>
      <x:c r="B11" s="30" t="str">
        <x:v>最大已知单轮融资金额</x:v>
      </x:c>
      <x:c r="C11" s="30" t="str">
        <x:v>融资峰值</x:v>
      </x:c>
      <x:c r="D11" s="32" t="n">
        <x:f>MAX('变量计算'!C6:C10)</x:f>
        <x:v>30000</x:v>
      </x:c>
      <x:c r="E11" s="30" t="str">
        <x:v>万元人民币</x:v>
      </x:c>
      <x:c r="F11" s="59" t="str">
        <x:v>VALID</x:v>
      </x:c>
      <x:c r="G11" s="30" t="str">
        <x:v>MAX(已知5轮金额)</x:v>
      </x:c>
      <x:c r="H11" s="30"/>
      <x:c r="I11" s="30" t="str">
        <x:v>Week11绿联科技标准表与招股书页码证据</x:v>
      </x:c>
      <x:c r="J11" s="30" t="str">
        <x:v>B扩展</x:v>
      </x:c>
    </x:row>
    <x:row r="12">
      <x:c r="A12" s="30" t="str">
        <x:v>CV008</x:v>
      </x:c>
      <x:c r="B12" s="30" t="str">
        <x:v>最大已知轮金额占比</x:v>
      </x:c>
      <x:c r="C12" s="30" t="str">
        <x:v>融资集中度</x:v>
      </x:c>
      <x:c r="D12" s="52" t="n">
        <x:f>D11/D7</x:f>
        <x:v>0.9135598779396776</x:v>
      </x:c>
      <x:c r="E12" s="30" t="str">
        <x:v>0–1</x:v>
      </x:c>
      <x:c r="F12" s="59" t="str">
        <x:v>VALID</x:v>
      </x:c>
      <x:c r="G12" s="30" t="str">
        <x:v>CV007/CV003</x:v>
      </x:c>
      <x:c r="H12" s="30"/>
      <x:c r="I12" s="30" t="str">
        <x:v>Week11绿联科技标准表与招股书页码证据</x:v>
      </x:c>
      <x:c r="J12" s="30" t="str">
        <x:v>B扩展</x:v>
      </x:c>
    </x:row>
    <x:row r="13">
      <x:c r="A13" s="30" t="str">
        <x:v>CV009</x:v>
      </x:c>
      <x:c r="B13" s="30" t="str">
        <x:v>融资时间跨度</x:v>
      </x:c>
      <x:c r="C13" s="30" t="str">
        <x:v>融资节奏</x:v>
      </x:c>
      <x:c r="D13" s="53" t="n">
        <x:f>'变量计算'!D24</x:f>
        <x:v>44</x:v>
      </x:c>
      <x:c r="E13" s="30" t="str">
        <x:v>月</x:v>
      </x:c>
      <x:c r="F13" s="59" t="str">
        <x:v>VALID</x:v>
      </x:c>
      <x:c r="G13" s="30" t="str">
        <x:v>2021-06与2017-10月份差</x:v>
      </x:c>
      <x:c r="H13" s="30"/>
      <x:c r="I13" s="30" t="str">
        <x:v>Week11绿联科技标准表与招股书页码证据</x:v>
      </x:c>
      <x:c r="J13" s="30" t="str">
        <x:v>A核心</x:v>
      </x:c>
    </x:row>
    <x:row r="14">
      <x:c r="A14" s="30" t="str">
        <x:v>CV010</x:v>
      </x:c>
      <x:c r="B14" s="30" t="str">
        <x:v>融资轮次间隔中位数</x:v>
      </x:c>
      <x:c r="C14" s="30" t="str">
        <x:v>融资节奏</x:v>
      </x:c>
      <x:c r="D14" s="53" t="n">
        <x:f>MEDIAN('变量计算'!B14,'变量计算'!E14,'变量计算'!B15,'变量计算'!E15)</x:f>
        <x:v>16.5</x:v>
      </x:c>
      <x:c r="E14" s="30" t="str">
        <x:v>月</x:v>
      </x:c>
      <x:c r="F14" s="59" t="str">
        <x:v>VALID</x:v>
      </x:c>
      <x:c r="G14" s="30" t="str">
        <x:v>MEDIAN(0,14,19,23)</x:v>
      </x:c>
      <x:c r="H14" s="30"/>
      <x:c r="I14" s="30" t="str">
        <x:v>Week11绿联科技标准表与招股书页码证据</x:v>
      </x:c>
      <x:c r="J14" s="30" t="str">
        <x:v>B扩展</x:v>
      </x:c>
    </x:row>
    <x:row r="15">
      <x:c r="A15" s="30" t="str">
        <x:v>CV011</x:v>
      </x:c>
      <x:c r="B15" s="30" t="str">
        <x:v>确认PE/VC参与标记</x:v>
      </x:c>
      <x:c r="C15" s="30" t="str">
        <x:v>PEVC参与</x:v>
      </x:c>
      <x:c r="D15" s="51" t="n">
        <x:f>IF('变量计算'!F19&gt;0,1,0)</x:f>
        <x:v>1</x:v>
      </x:c>
      <x:c r="E15" s="30" t="str">
        <x:v>0/1</x:v>
      </x:c>
      <x:c r="F15" s="59" t="str">
        <x:v>VALID</x:v>
      </x:c>
      <x:c r="G15" s="30" t="str">
        <x:v>IF(CV012&gt;0,1,0)</x:v>
      </x:c>
      <x:c r="H15" s="30"/>
      <x:c r="I15" s="30" t="str">
        <x:v>Week11绿联科技标准表与招股书页码证据</x:v>
      </x:c>
      <x:c r="J15" s="30" t="str">
        <x:v>A核心</x:v>
      </x:c>
    </x:row>
    <x:row r="16">
      <x:c r="A16" s="30" t="str">
        <x:v>CV012</x:v>
      </x:c>
      <x:c r="B16" s="30" t="str">
        <x:v>确认PE/VC法律主体数</x:v>
      </x:c>
      <x:c r="C16" s="30" t="str">
        <x:v>PEVC参与</x:v>
      </x:c>
      <x:c r="D16" s="51" t="n">
        <x:f>'变量计算'!F19</x:f>
        <x:v>2</x:v>
      </x:c>
      <x:c r="E16" s="30" t="str">
        <x:v>个</x:v>
      </x:c>
      <x:c r="F16" s="59" t="str">
        <x:v>VALID</x:v>
      </x:c>
      <x:c r="G16" s="30" t="str">
        <x:v>COUNT(PEVC_CONFIRMED direct entities)</x:v>
      </x:c>
      <x:c r="H16" s="30"/>
      <x:c r="I16" s="30" t="str">
        <x:v>Week11绿联科技标准表与招股书页码证据</x:v>
      </x:c>
      <x:c r="J16" s="30" t="str">
        <x:v>A核心</x:v>
      </x:c>
    </x:row>
    <x:row r="17">
      <x:c r="A17" s="30" t="str">
        <x:v>CV013</x:v>
      </x:c>
      <x:c r="B17" s="30" t="str">
        <x:v>确认PE/VC占直接主体比重</x:v>
      </x:c>
      <x:c r="C17" s="30" t="str">
        <x:v>PEVC参与</x:v>
      </x:c>
      <x:c r="D17" s="52" t="n">
        <x:f>D16/D24</x:f>
        <x:v>0.18181818181818182</x:v>
      </x:c>
      <x:c r="E17" s="30" t="str">
        <x:v>0–1</x:v>
      </x:c>
      <x:c r="F17" s="59" t="str">
        <x:v>VALID</x:v>
      </x:c>
      <x:c r="G17" s="30" t="str">
        <x:v>CV012/CV020</x:v>
      </x:c>
      <x:c r="H17" s="30"/>
      <x:c r="I17" s="30" t="str">
        <x:v>Week11绿联科技标准表与招股书页码证据</x:v>
      </x:c>
      <x:c r="J17" s="30" t="str">
        <x:v>B扩展</x:v>
      </x:c>
    </x:row>
    <x:row r="18">
      <x:c r="A18" s="30" t="str">
        <x:v>CV014</x:v>
      </x:c>
      <x:c r="B18" s="30" t="str">
        <x:v>确认PE/VC参与融资轮数</x:v>
      </x:c>
      <x:c r="C18" s="30" t="str">
        <x:v>PEVC参与深度</x:v>
      </x:c>
      <x:c r="D18" s="51" t="n">
        <x:f>'变量计算'!B20</x:f>
        <x:v>1</x:v>
      </x:c>
      <x:c r="E18" s="30" t="str">
        <x:v>轮</x:v>
      </x:c>
      <x:c r="F18" s="59" t="str">
        <x:v>VALID</x:v>
      </x:c>
      <x:c r="G18" s="30" t="str">
        <x:v>确认PE/VC参与融资轮去重数</x:v>
      </x:c>
      <x:c r="H18" s="30"/>
      <x:c r="I18" s="30" t="str">
        <x:v>Week11绿联科技标准表与招股书页码证据</x:v>
      </x:c>
      <x:c r="J18" s="30" t="str">
        <x:v>B扩展</x:v>
      </x:c>
    </x:row>
    <x:row r="19">
      <x:c r="A19" s="30" t="str">
        <x:v>CV015</x:v>
      </x:c>
      <x:c r="B19" s="30" t="str">
        <x:v>首次确认PE/VC进入日期</x:v>
      </x:c>
      <x:c r="C19" s="30" t="str">
        <x:v>PEVC进入时点</x:v>
      </x:c>
      <x:c r="D19" s="30" t="str">
        <x:f>'变量计算'!D20</x:f>
        <x:v>2021-05</x:v>
      </x:c>
      <x:c r="E19" s="30" t="str">
        <x:v>日期或年月</x:v>
      </x:c>
      <x:c r="F19" s="59" t="str">
        <x:v>VALID</x:v>
      </x:c>
      <x:c r="G19" s="30" t="str">
        <x:v>确认PE/VC最早确认进入月份</x:v>
      </x:c>
      <x:c r="H19" s="30" t="str">
        <x:v>首次进入是老股受让，不是发行人融资。</x:v>
      </x:c>
      <x:c r="I19" s="30" t="str">
        <x:v>Week11绿联科技标准表与招股书页码证据</x:v>
      </x:c>
      <x:c r="J19" s="30" t="str">
        <x:v>A核心</x:v>
      </x:c>
    </x:row>
    <x:row r="20">
      <x:c r="A20" s="30" t="str">
        <x:v>CV016</x:v>
      </x:c>
      <x:c r="B20" s="30" t="str">
        <x:v>首次确认PE/VC进入年份</x:v>
      </x:c>
      <x:c r="C20" s="30" t="str">
        <x:v>PEVC进入时点</x:v>
      </x:c>
      <x:c r="D20" s="51" t="n">
        <x:f>'变量计算'!F20</x:f>
        <x:v>2021</x:v>
      </x:c>
      <x:c r="E20" s="30" t="str">
        <x:v>年</x:v>
      </x:c>
      <x:c r="F20" s="59" t="str">
        <x:v>VALID</x:v>
      </x:c>
      <x:c r="G20" s="30" t="str">
        <x:v>YEAR(CV015)</x:v>
      </x:c>
      <x:c r="H20" s="30"/>
      <x:c r="I20" s="30" t="str">
        <x:v>Week11绿联科技标准表与招股书页码证据</x:v>
      </x:c>
      <x:c r="J20" s="30" t="str">
        <x:v>B扩展</x:v>
      </x:c>
    </x:row>
    <x:row r="21">
      <x:c r="A21" s="30" t="str">
        <x:v>CV017</x:v>
      </x:c>
      <x:c r="B21" s="30" t="str">
        <x:v>首次确认PE/VC融资轮位置</x:v>
      </x:c>
      <x:c r="C21" s="30" t="str">
        <x:v>PEVC进入时点</x:v>
      </x:c>
      <x:c r="D21" s="52" t="n">
        <x:f>'变量计算'!B21/'变量计算'!B19</x:f>
        <x:v>1</x:v>
      </x:c>
      <x:c r="E21" s="30" t="str">
        <x:v>0–1</x:v>
      </x:c>
      <x:c r="F21" s="59" t="str">
        <x:v>VALID</x:v>
      </x:c>
      <x:c r="G21" s="30" t="str">
        <x:v>首次确认PE/VC融资轮序位5/总轮数5</x:v>
      </x:c>
      <x:c r="H21" s="30" t="str">
        <x:v>必须与CV015联合解释；第5轮位置不等于PE/VC首次接触时点。</x:v>
      </x:c>
      <x:c r="I21" s="30" t="str">
        <x:v>Week11绿联科技标准表与招股书页码证据</x:v>
      </x:c>
      <x:c r="J21" s="30" t="str">
        <x:v>B扩展</x:v>
      </x:c>
    </x:row>
    <x:row r="22">
      <x:c r="A22" s="30" t="str">
        <x:v>CV018</x:v>
      </x:c>
      <x:c r="B22" s="30" t="str">
        <x:v>确认PE/VC间接路径标记</x:v>
      </x:c>
      <x:c r="C22" s="30" t="str">
        <x:v>投资路径复杂度</x:v>
      </x:c>
      <x:c r="D22" s="51" t="n">
        <x:f>'变量计算'!D21</x:f>
        <x:v>0</x:v>
      </x:c>
      <x:c r="E22" s="30" t="str">
        <x:v>0/1</x:v>
      </x:c>
      <x:c r="F22" s="59" t="str">
        <x:v>VALID</x:v>
      </x:c>
      <x:c r="G22" s="30" t="str">
        <x:v>确认PE/VC路径均为DIRECT</x:v>
      </x:c>
      <x:c r="H22" s="30"/>
      <x:c r="I22" s="30" t="str">
        <x:v>Week11绿联科技标准表与招股书页码证据</x:v>
      </x:c>
      <x:c r="J22" s="30" t="str">
        <x:v>B扩展</x:v>
      </x:c>
    </x:row>
    <x:row r="23">
      <x:c r="A23" s="30" t="str">
        <x:v>CV019</x:v>
      </x:c>
      <x:c r="B23" s="30" t="str">
        <x:v>确认PE/VC进入方式多样性</x:v>
      </x:c>
      <x:c r="C23" s="30" t="str">
        <x:v>PEVC进入方式</x:v>
      </x:c>
      <x:c r="D23" s="51" t="n">
        <x:f>'变量计算'!F21</x:f>
        <x:v>2</x:v>
      </x:c>
      <x:c r="E23" s="30" t="str">
        <x:v>种</x:v>
      </x:c>
      <x:c r="F23" s="59" t="str">
        <x:v>VALID</x:v>
      </x:c>
      <x:c r="G23" s="30" t="str">
        <x:v>COUNT(DISTINCT TRANSFER_ENTRY,DIRECTIONAL_ISSUANCE_ENTRY)</x:v>
      </x:c>
      <x:c r="H23" s="30" t="str">
        <x:v>两种进入方式属于同一高瓴主体的受让与后续增资。</x:v>
      </x:c>
      <x:c r="I23" s="30" t="str">
        <x:v>Week11绿联科技标准表与招股书页码证据</x:v>
      </x:c>
      <x:c r="J23" s="30" t="str">
        <x:v>B扩展</x:v>
      </x:c>
    </x:row>
    <x:row r="24">
      <x:c r="A24" s="30" t="str">
        <x:v>CV020</x:v>
      </x:c>
      <x:c r="B24" s="30" t="str">
        <x:v>直接参与法律主体数</x:v>
      </x:c>
      <x:c r="C24" s="30" t="str">
        <x:v>参与结构规模</x:v>
      </x:c>
      <x:c r="D24" s="51" t="n">
        <x:f>'变量计算'!D19</x:f>
        <x:v>11</x:v>
      </x:c>
      <x:c r="E24" s="30" t="str">
        <x:v>个</x:v>
      </x:c>
      <x:c r="F24" s="59" t="str">
        <x:v>VALID</x:v>
      </x:c>
      <x:c r="G24" s="30" t="str">
        <x:v>直接参与主体去重数（不含发行人）</x:v>
      </x:c>
      <x:c r="H24" s="30"/>
      <x:c r="I24" s="30" t="str">
        <x:v>Week11绿联科技标准表与招股书页码证据</x:v>
      </x:c>
      <x:c r="J24" s="30" t="str">
        <x:v>A核心</x:v>
      </x:c>
    </x:row>
    <x:row r="25">
      <x:c r="A25" s="30" t="str">
        <x:v>CV021</x:v>
      </x:c>
      <x:c r="B25" s="30" t="str">
        <x:v>融资投资方法律主体数</x:v>
      </x:c>
      <x:c r="C25" s="30" t="str">
        <x:v>融资参与广度</x:v>
      </x:c>
      <x:c r="D25" s="51" t="n">
        <x:f>'变量计算'!B22</x:f>
        <x:v>11</x:v>
      </x:c>
      <x:c r="E25" s="30" t="str">
        <x:v>个</x:v>
      </x:c>
      <x:c r="F25" s="59" t="str">
        <x:v>VALID</x:v>
      </x:c>
      <x:c r="G25" s="30" t="str">
        <x:v>融资轮INVESTOR主体去重数</x:v>
      </x:c>
      <x:c r="H25" s="30"/>
      <x:c r="I25" s="30" t="str">
        <x:v>Week11绿联科技标准表与招股书页码证据</x:v>
      </x:c>
      <x:c r="J25" s="30" t="str">
        <x:v>B扩展</x:v>
      </x:c>
    </x:row>
    <x:row r="26">
      <x:c r="A26" s="30" t="str">
        <x:v>CV022</x:v>
      </x:c>
      <x:c r="B26" s="30" t="str">
        <x:v>每轮融资投资方密度</x:v>
      </x:c>
      <x:c r="C26" s="30" t="str">
        <x:v>融资参与密度</x:v>
      </x:c>
      <x:c r="D26" s="53" t="n">
        <x:f>D25/D6</x:f>
        <x:v>2.2</x:v>
      </x:c>
      <x:c r="E26" s="30" t="str">
        <x:v>个/轮</x:v>
      </x:c>
      <x:c r="F26" s="59" t="str">
        <x:v>VALID</x:v>
      </x:c>
      <x:c r="G26" s="30" t="str">
        <x:v>CV021/CV002</x:v>
      </x:c>
      <x:c r="H26" s="30"/>
      <x:c r="I26" s="30" t="str">
        <x:v>Week11绿联科技标准表与招股书页码证据</x:v>
      </x:c>
      <x:c r="J26" s="30" t="str">
        <x:v>B扩展</x:v>
      </x:c>
    </x:row>
    <x:row r="27">
      <x:c r="A27" s="30" t="str">
        <x:v>CV023</x:v>
      </x:c>
      <x:c r="B27" s="30" t="str">
        <x:v>融资方式多样性</x:v>
      </x:c>
      <x:c r="C27" s="30" t="str">
        <x:v>融资机制</x:v>
      </x:c>
      <x:c r="D27" s="51" t="n">
        <x:f>'变量计算'!D22</x:f>
        <x:v>2</x:v>
      </x:c>
      <x:c r="E27" s="30" t="str">
        <x:v>种</x:v>
      </x:c>
      <x:c r="F27" s="59" t="str">
        <x:v>VALID</x:v>
      </x:c>
      <x:c r="G27" s="30" t="str">
        <x:v>CAPITAL_INCREASE与DIRECTIONAL_ISSUANCE两类</x:v>
      </x:c>
      <x:c r="H27" s="30"/>
      <x:c r="I27" s="30" t="str">
        <x:v>Week11绿联科技标准表与招股书页码证据</x:v>
      </x:c>
      <x:c r="J27" s="30" t="str">
        <x:v>B扩展</x:v>
      </x:c>
    </x:row>
    <x:row r="28">
      <x:c r="A28" s="30" t="str">
        <x:v>CV024</x:v>
      </x:c>
      <x:c r="B28" s="30" t="str">
        <x:v>股权转让交易数</x:v>
      </x:c>
      <x:c r="C28" s="30" t="str">
        <x:v>二级股权流动</x:v>
      </x:c>
      <x:c r="D28" s="51" t="n">
        <x:f>'变量计算'!F22</x:f>
        <x:v>2</x:v>
      </x:c>
      <x:c r="E28" s="30" t="str">
        <x:v>笔</x:v>
      </x:c>
      <x:c r="F28" s="59" t="str">
        <x:v>VALID</x:v>
      </x:c>
      <x:c r="G28" s="30" t="str">
        <x:v>COUNT(EQUITY_TRANSFER transactions)</x:v>
      </x:c>
      <x:c r="H28" s="30"/>
      <x:c r="I28" s="30" t="str">
        <x:v>Week11绿联科技标准表与招股书页码证据</x:v>
      </x:c>
      <x:c r="J28" s="30" t="str">
        <x:v>A核心</x:v>
      </x:c>
    </x:row>
    <x:row r="29">
      <x:c r="A29" s="30" t="str">
        <x:v>CV025</x:v>
      </x:c>
      <x:c r="B29" s="30" t="str">
        <x:v>可核验股权转让对价下限</x:v>
      </x:c>
      <x:c r="C29" s="30" t="str">
        <x:v>二级股权流动</x:v>
      </x:c>
      <x:c r="D29" s="32" t="n">
        <x:f>'变量计算'!B23</x:f>
        <x:v>30000</x:v>
      </x:c>
      <x:c r="E29" s="30" t="str">
        <x:v>万元人民币</x:v>
      </x:c>
      <x:c r="F29" s="59" t="str">
        <x:v>VALID</x:v>
      </x:c>
      <x:c r="G29" s="30" t="str">
        <x:v>20000+10000</x:v>
      </x:c>
      <x:c r="H29" s="30"/>
      <x:c r="I29" s="30" t="str">
        <x:v>Week11绿联科技标准表与招股书页码证据</x:v>
      </x:c>
      <x:c r="J29" s="30" t="str">
        <x:v>A核心</x:v>
      </x:c>
    </x:row>
    <x:row r="30">
      <x:c r="A30" s="30" t="str">
        <x:v>CV026</x:v>
      </x:c>
      <x:c r="B30" s="30" t="str">
        <x:v>转让对价与融资金额比</x:v>
      </x:c>
      <x:c r="C30" s="30" t="str">
        <x:v>二级股权流动</x:v>
      </x:c>
      <x:c r="D30" s="30" t="n">
        <x:f>D29/D7</x:f>
        <x:v>0.9135598779396776</x:v>
      </x:c>
      <x:c r="E30" s="30" t="str">
        <x:v>0–∞</x:v>
      </x:c>
      <x:c r="F30" s="59" t="str">
        <x:v>VALID</x:v>
      </x:c>
      <x:c r="G30" s="30" t="str">
        <x:v>CV025/CV003</x:v>
      </x:c>
      <x:c r="H30" s="30"/>
      <x:c r="I30" s="30" t="str">
        <x:v>Week11绿联科技标准表与招股书页码证据</x:v>
      </x:c>
      <x:c r="J30" s="30" t="str">
        <x:v>B扩展</x:v>
      </x:c>
    </x:row>
    <x:row r="31">
      <x:c r="A31" s="30" t="str">
        <x:v>CV027</x:v>
      </x:c>
      <x:c r="B31" s="30" t="str">
        <x:v>金额已知融资轮数</x:v>
      </x:c>
      <x:c r="C31" s="30" t="str">
        <x:v>数据可用性</x:v>
      </x:c>
      <x:c r="D31" s="51" t="n">
        <x:f>COUNT('变量计算'!C6:C10)</x:f>
        <x:v>5</x:v>
      </x:c>
      <x:c r="E31" s="30" t="str">
        <x:v>轮</x:v>
      </x:c>
      <x:c r="F31" s="59" t="str">
        <x:v>VALID</x:v>
      </x:c>
      <x:c r="G31" s="30" t="str">
        <x:v>已知金额融资轮数</x:v>
      </x:c>
      <x:c r="H31" s="30"/>
      <x:c r="I31" s="30" t="str">
        <x:v>Week11绿联科技标准表与招股书页码证据</x:v>
      </x:c>
      <x:c r="J31" s="30" t="str">
        <x:v>Q质量</x:v>
      </x:c>
    </x:row>
    <x:row r="32">
      <x:c r="A32" s="30" t="str">
        <x:v>CV028</x:v>
      </x:c>
      <x:c r="B32" s="30" t="str">
        <x:v>融资轮金额覆盖率</x:v>
      </x:c>
      <x:c r="C32" s="30" t="str">
        <x:v>数据可用性</x:v>
      </x:c>
      <x:c r="D32" s="52" t="n">
        <x:f>D31/D6</x:f>
        <x:v>1</x:v>
      </x:c>
      <x:c r="E32" s="30" t="str">
        <x:v>0–1</x:v>
      </x:c>
      <x:c r="F32" s="59" t="str">
        <x:v>VALID</x:v>
      </x:c>
      <x:c r="G32" s="30" t="str">
        <x:v>CV027/CV002</x:v>
      </x:c>
      <x:c r="H32" s="30"/>
      <x:c r="I32" s="30" t="str">
        <x:v>Week11绿联科技标准表与招股书页码证据</x:v>
      </x:c>
      <x:c r="J32" s="30" t="str">
        <x:v>Q质量</x:v>
      </x:c>
    </x:row>
    <x:row r="33">
      <x:c r="A33" s="30" t="str">
        <x:v>CV029</x:v>
      </x:c>
      <x:c r="B33" s="30" t="str">
        <x:v>融资轮日期覆盖率</x:v>
      </x:c>
      <x:c r="C33" s="30" t="str">
        <x:v>数据可用性</x:v>
      </x:c>
      <x:c r="D33" s="52" t="n">
        <x:f>'变量计算'!D23/D6</x:f>
        <x:v>1</x:v>
      </x:c>
      <x:c r="E33" s="30" t="str">
        <x:v>0–1</x:v>
      </x:c>
      <x:c r="F33" s="59" t="str">
        <x:v>VALID</x:v>
      </x:c>
      <x:c r="G33" s="30" t="str">
        <x:v>具有MONTH精度日期轮数/CV002</x:v>
      </x:c>
      <x:c r="H33" s="30"/>
      <x:c r="I33" s="30" t="str">
        <x:v>Week11绿联科技标准表与招股书页码证据</x:v>
      </x:c>
      <x:c r="J33" s="30" t="str">
        <x:v>Q质量</x:v>
      </x:c>
    </x:row>
    <x:row r="34">
      <x:c r="A34" s="30" t="str">
        <x:v>CV030</x:v>
      </x:c>
      <x:c r="B34" s="30" t="str">
        <x:v>计算型轮次金额占比</x:v>
      </x:c>
      <x:c r="C34" s="30" t="str">
        <x:v>数值来源结构</x:v>
      </x:c>
      <x:c r="D34" s="52" t="n">
        <x:f>SUM('变量计算'!E6:E10)/D31</x:f>
        <x:v>0.4</x:v>
      </x:c>
      <x:c r="E34" s="30" t="str">
        <x:v>0–1</x:v>
      </x:c>
      <x:c r="F34" s="59" t="str">
        <x:v>VALID</x:v>
      </x:c>
      <x:c r="G34" s="30" t="str">
        <x:v>CALCULATED金额轮数/CV027</x:v>
      </x:c>
      <x:c r="H34" s="30"/>
      <x:c r="I34" s="30" t="str">
        <x:v>Week11绿联科技标准表与招股书页码证据</x:v>
      </x:c>
      <x:c r="J34" s="30" t="str">
        <x:v>Q质量</x:v>
      </x:c>
    </x:row>
    <x:row r="35">
      <x:c r="A35" s="30" t="str">
        <x:v>CV031</x:v>
      </x:c>
      <x:c r="B35" s="30" t="str">
        <x:v>每轮融资证据记录数</x:v>
      </x:c>
      <x:c r="C35" s="30" t="str">
        <x:v>证据密度</x:v>
      </x:c>
      <x:c r="D35" s="53" t="n">
        <x:f>'变量计算'!F23/D6</x:f>
        <x:v>1.6</x:v>
      </x:c>
      <x:c r="E35" s="30" t="str">
        <x:v>条/轮</x:v>
      </x:c>
      <x:c r="F35" s="59" t="str">
        <x:v>VALID</x:v>
      </x:c>
      <x:c r="G35" s="30" t="str">
        <x:v>直接关联融资轮证据8条/CV002</x:v>
      </x:c>
      <x:c r="H35" s="30" t="str">
        <x:v>证据记录密度不是披露质量评分。</x:v>
      </x:c>
      <x:c r="I35" s="30" t="str">
        <x:v>Week11绿联科技标准表与招股书页码证据</x:v>
      </x:c>
      <x:c r="J35" s="30" t="str">
        <x:v>Q质量</x:v>
      </x:c>
    </x:row>
    <x:row r="36">
      <x:c r="A36" s="31" t="str">
        <x:v>CV032</x:v>
      </x:c>
      <x:c r="B36" s="31" t="str">
        <x:v>公司级披露限制标记</x:v>
      </x:c>
      <x:c r="C36" s="31" t="str">
        <x:v>披露边界</x:v>
      </x:c>
      <x:c r="D36" s="54" t="n">
        <x:f>'变量计算'!B24</x:f>
        <x:v>0</x:v>
      </x:c>
      <x:c r="E36" s="31" t="str">
        <x:v>0/1</x:v>
      </x:c>
      <x:c r="F36" s="60" t="str">
        <x:v>VALID</x:v>
      </x:c>
      <x:c r="G36" s="31" t="str">
        <x:v>公司级披露限制为空，因此为0</x:v>
      </x:c>
      <x:c r="H36" s="31" t="str">
        <x:v>0仅表示本次重建无公司级限制，不代表披露绝对完美。</x:v>
      </x:c>
      <x:c r="I36" s="31" t="str">
        <x:v>Week11绿联科技标准表与招股书页码证据</x:v>
      </x:c>
      <x:c r="J36" s="31" t="str">
        <x:v>Q质量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" hidden="0" customWidth="1"/>
    <x:col min="4" max="4" width="56" hidden="0" customWidth="1"/>
    <x:col min="5" max="5" width="20" hidden="0" customWidth="1"/>
    <x:col min="6" max="6" width="34" hidden="0" customWidth="1"/>
    <x:col min="7" max="7" width="18" hidden="0" customWidth="1"/>
  </x:cols>
  <x:sheetData>
    <x:row r="1" ht="30" customHeight="1">
      <x:c r="A1" s="3" t="str">
        <x:v>9张标准表复用性判断</x:v>
      </x:c>
      <x:c r="B1" s="3"/>
      <x:c r="C1" s="3"/>
      <x:c r="D1" s="3"/>
      <x:c r="E1" s="3"/>
      <x:c r="F1" s="3"/>
      <x:c r="G1" s="3"/>
    </x:row>
    <x:row r="2" ht="34" customHeight="1">
      <x:c r="A2" s="7" t="str">
        <x:v>先检验原结构能否承载新事实，再决定是否建立v1.1；单个案例的解释规则不自动升级为Schema变更。</x:v>
      </x:c>
      <x:c r="B2" s="7"/>
      <x:c r="C2" s="7"/>
      <x:c r="D2" s="7"/>
      <x:c r="E2" s="7"/>
      <x:c r="F2" s="7"/>
      <x:c r="G2" s="7"/>
    </x:row>
    <x:row r="3">
      <x:c r="A3" s="78"/>
      <x:c r="B3" s="78"/>
      <x:c r="C3" s="78"/>
      <x:c r="D3" s="78"/>
      <x:c r="E3" s="78"/>
      <x:c r="F3" s="78"/>
      <x:c r="G3" s="78"/>
    </x:row>
    <x:row r="4" ht="30" customHeight="1">
      <x:c r="A4" s="19" t="str">
        <x:v>标准表</x:v>
      </x:c>
      <x:c r="B4" s="20" t="str">
        <x:v>复用结果</x:v>
      </x:c>
      <x:c r="C4" s="20" t="str">
        <x:v>记录数</x:v>
      </x:c>
      <x:c r="D4" s="20" t="str">
        <x:v>新公司发现</x:v>
      </x:c>
      <x:c r="E4" s="20" t="str">
        <x:v>需要Schema变更</x:v>
      </x:c>
      <x:c r="F4" s="20" t="str">
        <x:v>处理建议</x:v>
      </x:c>
      <x:c r="G4" s="21" t="str">
        <x:v>最终判断</x:v>
      </x:c>
    </x:row>
    <x:row r="5">
      <x:c r="A5" s="29" t="str">
        <x:v>companies</x:v>
      </x:c>
      <x:c r="B5" s="29" t="str">
        <x:v>DIRECT_REUSE</x:v>
      </x:c>
      <x:c r="C5" s="29" t="n">
        <x:v>1</x:v>
      </x:c>
      <x:c r="D5" s="29" t="str">
        <x:v>公司层金额、轮次、PE/VC和披露边界均可直接表达。</x:v>
      </x:c>
      <x:c r="E5" s="44" t="str">
        <x:v>NO</x:v>
      </x:c>
      <x:c r="F5" s="29" t="str">
        <x:v>保留v1.0并补充说明</x:v>
      </x:c>
      <x:c r="G5" s="44" t="str">
        <x:v>可复用</x:v>
      </x:c>
    </x:row>
    <x:row r="6">
      <x:c r="A6" s="30" t="str">
        <x:v>financing_events</x:v>
      </x:c>
      <x:c r="B6" s="30" t="str">
        <x:v>DIRECT_REUSE</x:v>
      </x:c>
      <x:c r="C6" s="30" t="n">
        <x:v>9</x:v>
      </x:c>
      <x:c r="D6" s="30" t="str">
        <x:v>同月两次定向发行可由event_id与event_sequence区分。</x:v>
      </x:c>
      <x:c r="E6" s="45" t="str">
        <x:v>NO</x:v>
      </x:c>
      <x:c r="F6" s="30" t="str">
        <x:v>保留v1.0并补充说明</x:v>
      </x:c>
      <x:c r="G6" s="45" t="str">
        <x:v>可复用</x:v>
      </x:c>
    </x:row>
    <x:row r="7">
      <x:c r="A7" s="30" t="str">
        <x:v>transactions</x:v>
      </x:c>
      <x:c r="B7" s="30" t="str">
        <x:v>DIRECT_REUSE</x:v>
      </x:c>
      <x:c r="C7" s="30" t="n">
        <x:v>10</x:v>
      </x:c>
      <x:c r="D7" s="30" t="str">
        <x:v>增资、定向发行、转让、整体变更和转增均有现成枚举。</x:v>
      </x:c>
      <x:c r="E7" s="45" t="str">
        <x:v>NO</x:v>
      </x:c>
      <x:c r="F7" s="30" t="str">
        <x:v>保留v1.0并补充说明</x:v>
      </x:c>
      <x:c r="G7" s="45" t="str">
        <x:v>可复用</x:v>
      </x:c>
    </x:row>
    <x:row r="8">
      <x:c r="A8" s="30" t="str">
        <x:v>entities</x:v>
      </x:c>
      <x:c r="B8" s="30" t="str">
        <x:v>DIRECT_REUSE_WITH_RULE_NOTE</x:v>
      </x:c>
      <x:c r="C8" s="30" t="n">
        <x:v>12</x:v>
      </x:c>
      <x:c r="D8" s="30" t="str">
        <x:v>高瓴直接载体与底层基金关系需要证据化说明，但现有PEVC状态足够。</x:v>
      </x:c>
      <x:c r="E8" s="45" t="str">
        <x:v>NO</x:v>
      </x:c>
      <x:c r="F8" s="30" t="str">
        <x:v>保留v1.0并补充说明</x:v>
      </x:c>
      <x:c r="G8" s="45" t="str">
        <x:v>可复用</x:v>
      </x:c>
    </x:row>
    <x:row r="9">
      <x:c r="A9" s="30" t="str">
        <x:v>transaction_parties</x:v>
      </x:c>
      <x:c r="B9" s="30" t="str">
        <x:v>DIRECT_REUSE</x:v>
      </x:c>
      <x:c r="C9" s="30" t="n">
        <x:v>18</x:v>
      </x:c>
      <x:c r="D9" s="30" t="str">
        <x:v>INVESTOR、TRANSFEROR和TRANSFEREE角色能够覆盖。</x:v>
      </x:c>
      <x:c r="E9" s="45" t="str">
        <x:v>NO</x:v>
      </x:c>
      <x:c r="F9" s="30" t="str">
        <x:v>保留v1.0并补充说明</x:v>
      </x:c>
      <x:c r="G9" s="45" t="str">
        <x:v>可复用</x:v>
      </x:c>
    </x:row>
    <x:row r="10">
      <x:c r="A10" s="30" t="str">
        <x:v>evidence</x:v>
      </x:c>
      <x:c r="B10" s="30" t="str">
        <x:v>DIRECT_REUSE</x:v>
      </x:c>
      <x:c r="C10" s="30" t="n">
        <x:v>12</x:v>
      </x:c>
      <x:c r="D10" s="30" t="str">
        <x:v>页码、正文页、图表类型与支持字段均可追溯。</x:v>
      </x:c>
      <x:c r="E10" s="45" t="str">
        <x:v>NO</x:v>
      </x:c>
      <x:c r="F10" s="30" t="str">
        <x:v>保留v1.0并补充说明</x:v>
      </x:c>
      <x:c r="G10" s="45" t="str">
        <x:v>可复用</x:v>
      </x:c>
    </x:row>
    <x:row r="11">
      <x:c r="A11" s="30" t="str">
        <x:v>numeric_validation</x:v>
      </x:c>
      <x:c r="B11" s="30" t="str">
        <x:v>DIRECT_REUSE</x:v>
      </x:c>
      <x:c r="C11" s="30" t="n">
        <x:v>9</x:v>
      </x:c>
      <x:c r="D11" s="30" t="str">
        <x:v>能够处理披露价格四舍五入造成的小额差异。</x:v>
      </x:c>
      <x:c r="E11" s="45" t="str">
        <x:v>NO</x:v>
      </x:c>
      <x:c r="F11" s="30" t="str">
        <x:v>保留v1.0并补充说明</x:v>
      </x:c>
      <x:c r="G11" s="45" t="str">
        <x:v>可复用</x:v>
      </x:c>
    </x:row>
    <x:row r="12">
      <x:c r="A12" s="30" t="str">
        <x:v>investment_paths</x:v>
      </x:c>
      <x:c r="B12" s="30" t="str">
        <x:v>DIRECT_REUSE</x:v>
      </x:c>
      <x:c r="C12" s="30" t="n">
        <x:v>12</x:v>
      </x:c>
      <x:c r="D12" s="30" t="str">
        <x:v>同一PE/VC的受让进入与后续增资进入可分路径表达。</x:v>
      </x:c>
      <x:c r="E12" s="45" t="str">
        <x:v>NO</x:v>
      </x:c>
      <x:c r="F12" s="30" t="str">
        <x:v>保留v1.0并补充说明</x:v>
      </x:c>
      <x:c r="G12" s="45" t="str">
        <x:v>可复用</x:v>
      </x:c>
    </x:row>
    <x:row r="13">
      <x:c r="A13" s="31" t="str">
        <x:v>validation_issues</x:v>
      </x:c>
      <x:c r="B13" s="31" t="str">
        <x:v>DIRECT_REUSE</x:v>
      </x:c>
      <x:c r="C13" s="31" t="n">
        <x:v>3</x:v>
      </x:c>
      <x:c r="D13" s="31" t="str">
        <x:v>实体判断、日期边界和变量解释限制均可记录。</x:v>
      </x:c>
      <x:c r="E13" s="46" t="str">
        <x:v>NO</x:v>
      </x:c>
      <x:c r="F13" s="31" t="str">
        <x:v>保留v1.0并补充说明</x:v>
      </x:c>
      <x:c r="G13" s="46" t="str">
        <x:v>可复用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34" hidden="0" customWidth="1"/>
    <x:col min="5" max="5" width="18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24" hidden="0" customWidth="1"/>
  </x:cols>
  <x:sheetData>
    <x:row r="1" ht="30" customHeight="1">
      <x:c r="A1" s="3" t="str">
        <x:v>公司表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</x:row>
    <x:row r="4" ht="30" customHeight="1">
      <x:c r="A4" s="19" t="str">
        <x:v>company_id</x:v>
      </x:c>
      <x:c r="B4" s="20" t="str">
        <x:v>source_stock_code</x:v>
      </x:c>
      <x:c r="C4" s="20" t="str">
        <x:v>company_name_standard</x:v>
      </x:c>
      <x:c r="D4" s="20" t="str">
        <x:v>prospectus_name</x:v>
      </x:c>
      <x:c r="E4" s="20" t="str">
        <x:v>financing_round_count</x:v>
      </x:c>
      <x:c r="F4" s="20" t="str">
        <x:v>financing_amount_lower_bound_10k_cny</x:v>
      </x:c>
      <x:c r="G4" s="20" t="str">
        <x:v>financing_amount_status</x:v>
      </x:c>
      <x:c r="H4" s="20" t="str">
        <x:v>equity_transfer_amount_lower_bound_10k_cny</x:v>
      </x:c>
      <x:c r="I4" s="20" t="str">
        <x:v>equity_transfer_amount_status</x:v>
      </x:c>
      <x:c r="J4" s="20" t="str">
        <x:v>unique_direct_legal_entity_count</x:v>
      </x:c>
      <x:c r="K4" s="20" t="str">
        <x:v>confirmed_pevc_legal_entity_count</x:v>
      </x:c>
      <x:c r="L4" s="20" t="str">
        <x:v>disclosure_limitation</x:v>
      </x:c>
      <x:c r="M4" s="20" t="str">
        <x:v>main_evidence_reference</x:v>
      </x:c>
      <x:c r="N4" s="21" t="str">
        <x:v>company_review_status</x:v>
      </x:c>
    </x:row>
    <x:row r="5">
      <x:c r="A5" s="62" t="str">
        <x:v>301606</x:v>
      </x:c>
      <x:c r="B5" s="62" t="str">
        <x:v>301606</x:v>
      </x:c>
      <x:c r="C5" s="62" t="str">
        <x:v>绿联科技</x:v>
      </x:c>
      <x:c r="D5" s="62" t="str">
        <x:v>301606_ugreen_ipo_prospectus_20240719.pdf</x:v>
      </x:c>
      <x:c r="E5" s="62" t="n">
        <x:v>5</x:v>
      </x:c>
      <x:c r="F5" s="63" t="n">
        <x:v>32838.569999</x:v>
      </x:c>
      <x:c r="G5" s="63" t="str">
        <x:v>DISCLOSED_COMPLETE</x:v>
      </x:c>
      <x:c r="H5" s="63" t="n">
        <x:v>30000</x:v>
      </x:c>
      <x:c r="I5" s="63" t="str">
        <x:v>DISCLOSED_COMPLETE</x:v>
      </x:c>
      <x:c r="J5" s="62" t="n">
        <x:v>11</x:v>
      </x:c>
      <x:c r="K5" s="62" t="n">
        <x:v>2</x:v>
      </x:c>
      <x:c r="L5" s="62"/>
      <x:c r="M5" s="62" t="str">
        <x:v>PDF第49—55、77、80—85页/正文第48—54、76、79—84页</x:v>
      </x:c>
      <x:c r="N5" s="62" t="str">
        <x:v>FINAL_APPROVED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48" hidden="0" customWidth="1"/>
    <x:col min="14" max="14" width="18" hidden="0" customWidth="1"/>
    <x:col min="15" max="15" width="24" hidden="0" customWidth="1"/>
    <x:col min="16" max="16" width="18" hidden="0" customWidth="1"/>
    <x:col min="17" max="17" width="24" hidden="0" customWidth="1"/>
    <x:col min="18" max="18" width="18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18" hidden="0" customWidth="1"/>
    <x:col min="25" max="25" width="24" hidden="0" customWidth="1"/>
    <x:col min="26" max="26" width="24" hidden="0" customWidth="1"/>
    <x:col min="27" max="27" width="24" hidden="0" customWidth="1"/>
  </x:cols>
  <x:sheetData>
    <x:row r="1" ht="30" customHeight="1">
      <x:c r="A1" s="3" t="str">
        <x:v>融资事件表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  <x:c r="AA3" s="78"/>
    </x:row>
    <x:row r="4" ht="30" customHeight="1">
      <x:c r="A4" s="19" t="str">
        <x:v>event_id</x:v>
      </x:c>
      <x:c r="B4" s="20" t="str">
        <x:v>company_id</x:v>
      </x:c>
      <x:c r="C4" s="20" t="str">
        <x:v>source_event_id</x:v>
      </x:c>
      <x:c r="D4" s="20" t="str">
        <x:v>event_sequence</x:v>
      </x:c>
      <x:c r="E4" s="20" t="str">
        <x:v>event_date_original</x:v>
      </x:c>
      <x:c r="F4" s="20" t="str">
        <x:v>event_date_standardized</x:v>
      </x:c>
      <x:c r="G4" s="20" t="str">
        <x:v>date_precision</x:v>
      </x:c>
      <x:c r="H4" s="20" t="str">
        <x:v>event_type_source</x:v>
      </x:c>
      <x:c r="I4" s="20" t="str">
        <x:v>event_type_standardized</x:v>
      </x:c>
      <x:c r="J4" s="20" t="str">
        <x:v>in_scope_financing_flag</x:v>
      </x:c>
      <x:c r="K4" s="20" t="str">
        <x:v>financing_round_flag</x:v>
      </x:c>
      <x:c r="L4" s="20" t="str">
        <x:v>scope_exclusion_reason</x:v>
      </x:c>
      <x:c r="M4" s="20" t="str">
        <x:v>scope_basis</x:v>
      </x:c>
      <x:c r="N4" s="20" t="str">
        <x:v>registered_capital_before</x:v>
      </x:c>
      <x:c r="O4" s="20" t="str">
        <x:v>registered_capital_before_status</x:v>
      </x:c>
      <x:c r="P4" s="20" t="str">
        <x:v>registered_capital_after</x:v>
      </x:c>
      <x:c r="Q4" s="20" t="str">
        <x:v>registered_capital_after_status</x:v>
      </x:c>
      <x:c r="R4" s="20" t="str">
        <x:v>financing_amount_10k_cny</x:v>
      </x:c>
      <x:c r="S4" s="20" t="str">
        <x:v>financing_amount_original_text</x:v>
      </x:c>
      <x:c r="T4" s="20" t="str">
        <x:v>financing_amount_status</x:v>
      </x:c>
      <x:c r="U4" s="20" t="str">
        <x:v>amount_source_type</x:v>
      </x:c>
      <x:c r="V4" s="20" t="str">
        <x:v>financing_amount_original_currency</x:v>
      </x:c>
      <x:c r="W4" s="20" t="str">
        <x:v>financing_amount_original_unit</x:v>
      </x:c>
      <x:c r="X4" s="20" t="str">
        <x:v>financing_amount_standard_unit</x:v>
      </x:c>
      <x:c r="Y4" s="20" t="str">
        <x:v>primary_evidence_id</x:v>
      </x:c>
      <x:c r="Z4" s="20" t="str">
        <x:v>record_origin</x:v>
      </x:c>
      <x:c r="AA4" s="21" t="str">
        <x:v>review_status</x:v>
      </x:c>
    </x:row>
    <x:row r="5">
      <x:c r="A5" s="29" t="str">
        <x:v>EVT-301606-0001</x:v>
      </x:c>
      <x:c r="B5" s="29" t="str">
        <x:v>301606</x:v>
      </x:c>
      <x:c r="C5" s="29" t="str">
        <x:v>EVT-301606-0001</x:v>
      </x:c>
      <x:c r="D5" s="29" t="n">
        <x:v>1</x:v>
      </x:c>
      <x:c r="E5" s="29" t="str">
        <x:v>2012-03</x:v>
      </x:c>
      <x:c r="F5" s="29" t="str">
        <x:v>2012-03</x:v>
      </x:c>
      <x:c r="G5" s="29" t="str">
        <x:v>MONTH</x:v>
      </x:c>
      <x:c r="H5" s="29" t="str">
        <x:v>ESTABLISHMENT</x:v>
      </x:c>
      <x:c r="I5" s="29" t="str">
        <x:v>ESTABLISHMENT</x:v>
      </x:c>
      <x:c r="J5" s="72" t="b">
        <x:v>0</x:v>
      </x:c>
      <x:c r="K5" s="72" t="b">
        <x:v>0</x:v>
      </x:c>
      <x:c r="L5" s="29" t="str">
        <x:v>OUT_OF_SCOPE_EVENT_TYPE:ESTABLISHMENT</x:v>
      </x:c>
      <x:c r="M5" s="29" t="str">
        <x:v>WEEK7_WEEK8_UNIFIED_CALIBER_EXTENSION_TEST</x:v>
      </x:c>
      <x:c r="N5" s="47"/>
      <x:c r="O5" s="47" t="str">
        <x:v>NOT_APPLICABLE</x:v>
      </x:c>
      <x:c r="P5" s="47" t="n">
        <x:v>100</x:v>
      </x:c>
      <x:c r="Q5" s="47" t="str">
        <x:v>DISCLOSED_COMPLETE</x:v>
      </x:c>
      <x:c r="R5" s="47"/>
      <x:c r="S5" s="47"/>
      <x:c r="T5" s="47" t="str">
        <x:v>NOT_APPLICABLE</x:v>
      </x:c>
      <x:c r="U5" s="47"/>
      <x:c r="V5" s="47"/>
      <x:c r="W5" s="47"/>
      <x:c r="X5" s="47"/>
      <x:c r="Y5" s="29" t="str">
        <x:v>EVD-301606-0001</x:v>
      </x:c>
      <x:c r="Z5" s="29" t="str">
        <x:v>STANDARDIZED_RECORD</x:v>
      </x:c>
      <x:c r="AA5" s="29" t="str">
        <x:v>FINAL_APPROVED</x:v>
      </x:c>
    </x:row>
    <x:row r="6">
      <x:c r="A6" s="30" t="str">
        <x:v>EVT-301606-0002</x:v>
      </x:c>
      <x:c r="B6" s="30" t="str">
        <x:v>301606</x:v>
      </x:c>
      <x:c r="C6" s="30" t="str">
        <x:v>EVT-301606-0002</x:v>
      </x:c>
      <x:c r="D6" s="30" t="n">
        <x:v>2</x:v>
      </x:c>
      <x:c r="E6" s="30" t="str">
        <x:v>2017-10</x:v>
      </x:c>
      <x:c r="F6" s="30" t="str">
        <x:v>2017-10</x:v>
      </x:c>
      <x:c r="G6" s="30" t="str">
        <x:v>MONTH</x:v>
      </x:c>
      <x:c r="H6" s="30" t="str">
        <x:v>CAPITAL_INCREASE</x:v>
      </x:c>
      <x:c r="I6" s="30" t="str">
        <x:v>CAPITAL_INCREASE</x:v>
      </x:c>
      <x:c r="J6" s="73" t="b">
        <x:v>1</x:v>
      </x:c>
      <x:c r="K6" s="73" t="b">
        <x:v>1</x:v>
      </x:c>
      <x:c r="L6" s="30"/>
      <x:c r="M6" s="30" t="str">
        <x:v>WEEK7_WEEK8_UNIFIED_CALIBER_EXTENSION_TEST</x:v>
      </x:c>
      <x:c r="N6" s="48" t="n">
        <x:v>100</x:v>
      </x:c>
      <x:c r="O6" s="48" t="str">
        <x:v>DISCLOSED_COMPLETE</x:v>
      </x:c>
      <x:c r="P6" s="48" t="n">
        <x:v>1000</x:v>
      </x:c>
      <x:c r="Q6" s="48" t="str">
        <x:v>DISCLOSED_COMPLETE</x:v>
      </x:c>
      <x:c r="R6" s="48" t="n">
        <x:v>900</x:v>
      </x:c>
      <x:c r="S6" s="48" t="str">
        <x:v>900.000000万元</x:v>
      </x:c>
      <x:c r="T6" s="48" t="str">
        <x:v>DISCLOSED_COMPLETE</x:v>
      </x:c>
      <x:c r="U6" s="48" t="str">
        <x:v>CALCULATED</x:v>
      </x:c>
      <x:c r="V6" s="48" t="str">
        <x:v>CNY</x:v>
      </x:c>
      <x:c r="W6" s="48" t="str">
        <x:v>万元</x:v>
      </x:c>
      <x:c r="X6" s="48" t="str">
        <x:v>万元人民币</x:v>
      </x:c>
      <x:c r="Y6" s="30" t="str">
        <x:v>EVD-301606-0002</x:v>
      </x:c>
      <x:c r="Z6" s="30" t="str">
        <x:v>STANDARDIZED_RECORD</x:v>
      </x:c>
      <x:c r="AA6" s="30" t="str">
        <x:v>FINAL_APPROVED</x:v>
      </x:c>
    </x:row>
    <x:row r="7">
      <x:c r="A7" s="30" t="str">
        <x:v>EVT-301606-0003</x:v>
      </x:c>
      <x:c r="B7" s="30" t="str">
        <x:v>301606</x:v>
      </x:c>
      <x:c r="C7" s="30" t="str">
        <x:v>EVT-301606-0003</x:v>
      </x:c>
      <x:c r="D7" s="30" t="n">
        <x:v>3</x:v>
      </x:c>
      <x:c r="E7" s="30" t="str">
        <x:v>2018-12</x:v>
      </x:c>
      <x:c r="F7" s="30" t="str">
        <x:v>2018-12</x:v>
      </x:c>
      <x:c r="G7" s="30" t="str">
        <x:v>MONTH</x:v>
      </x:c>
      <x:c r="H7" s="30" t="str">
        <x:v>CAPITAL_INCREASE</x:v>
      </x:c>
      <x:c r="I7" s="30" t="str">
        <x:v>CAPITAL_INCREASE</x:v>
      </x:c>
      <x:c r="J7" s="73" t="b">
        <x:v>1</x:v>
      </x:c>
      <x:c r="K7" s="73" t="b">
        <x:v>1</x:v>
      </x:c>
      <x:c r="L7" s="30"/>
      <x:c r="M7" s="30" t="str">
        <x:v>WEEK7_WEEK8_UNIFIED_CALIBER_EXTENSION_TEST</x:v>
      </x:c>
      <x:c r="N7" s="48" t="n">
        <x:v>1000</x:v>
      </x:c>
      <x:c r="O7" s="48" t="str">
        <x:v>DISCLOSED_COMPLETE</x:v>
      </x:c>
      <x:c r="P7" s="48" t="n">
        <x:v>1270.569999</x:v>
      </x:c>
      <x:c r="Q7" s="48" t="str">
        <x:v>DISCLOSED_COMPLETE</x:v>
      </x:c>
      <x:c r="R7" s="48" t="n">
        <x:v>270.569999</x:v>
      </x:c>
      <x:c r="S7" s="48" t="str">
        <x:v>270.569999万元</x:v>
      </x:c>
      <x:c r="T7" s="48" t="str">
        <x:v>DISCLOSED_COMPLETE</x:v>
      </x:c>
      <x:c r="U7" s="48" t="str">
        <x:v>CALCULATED</x:v>
      </x:c>
      <x:c r="V7" s="48" t="str">
        <x:v>CNY</x:v>
      </x:c>
      <x:c r="W7" s="48" t="str">
        <x:v>万元</x:v>
      </x:c>
      <x:c r="X7" s="48" t="str">
        <x:v>万元人民币</x:v>
      </x:c>
      <x:c r="Y7" s="30" t="str">
        <x:v>EVD-301606-0003</x:v>
      </x:c>
      <x:c r="Z7" s="30" t="str">
        <x:v>STANDARDIZED_RECORD</x:v>
      </x:c>
      <x:c r="AA7" s="30" t="str">
        <x:v>FINAL_APPROVED</x:v>
      </x:c>
    </x:row>
    <x:row r="8">
      <x:c r="A8" s="30" t="str">
        <x:v>EVT-301606-0004</x:v>
      </x:c>
      <x:c r="B8" s="30" t="str">
        <x:v>301606</x:v>
      </x:c>
      <x:c r="C8" s="30" t="str">
        <x:v>EVT-301606-0004</x:v>
      </x:c>
      <x:c r="D8" s="30" t="n">
        <x:v>4</x:v>
      </x:c>
      <x:c r="E8" s="30" t="str">
        <x:v>2020-07</x:v>
      </x:c>
      <x:c r="F8" s="30" t="str">
        <x:v>2020-07</x:v>
      </x:c>
      <x:c r="G8" s="30" t="str">
        <x:v>MONTH</x:v>
      </x:c>
      <x:c r="H8" s="30" t="str">
        <x:v>CAPITAL_INCREASE</x:v>
      </x:c>
      <x:c r="I8" s="30" t="str">
        <x:v>CAPITAL_INCREASE</x:v>
      </x:c>
      <x:c r="J8" s="73" t="b">
        <x:v>1</x:v>
      </x:c>
      <x:c r="K8" s="73" t="b">
        <x:v>1</x:v>
      </x:c>
      <x:c r="L8" s="30"/>
      <x:c r="M8" s="30" t="str">
        <x:v>WEEK7_WEEK8_UNIFIED_CALIBER_EXTENSION_TEST</x:v>
      </x:c>
      <x:c r="N8" s="48" t="n">
        <x:v>1270.569999</x:v>
      </x:c>
      <x:c r="O8" s="48" t="str">
        <x:v>DISCLOSED_COMPLETE</x:v>
      </x:c>
      <x:c r="P8" s="48" t="n">
        <x:v>1337.442104</x:v>
      </x:c>
      <x:c r="Q8" s="48" t="str">
        <x:v>DISCLOSED_COMPLETE</x:v>
      </x:c>
      <x:c r="R8" s="48" t="n">
        <x:v>1000</x:v>
      </x:c>
      <x:c r="S8" s="48" t="str">
        <x:v>1,000.000000万元</x:v>
      </x:c>
      <x:c r="T8" s="48" t="str">
        <x:v>DISCLOSED_COMPLETE</x:v>
      </x:c>
      <x:c r="U8" s="48" t="str">
        <x:v>DISCLOSED</x:v>
      </x:c>
      <x:c r="V8" s="48" t="str">
        <x:v>CNY</x:v>
      </x:c>
      <x:c r="W8" s="48" t="str">
        <x:v>万元</x:v>
      </x:c>
      <x:c r="X8" s="48" t="str">
        <x:v>万元人民币</x:v>
      </x:c>
      <x:c r="Y8" s="30" t="str">
        <x:v>EVD-301606-0004</x:v>
      </x:c>
      <x:c r="Z8" s="30" t="str">
        <x:v>STANDARDIZED_RECORD</x:v>
      </x:c>
      <x:c r="AA8" s="30" t="str">
        <x:v>FINAL_APPROVED</x:v>
      </x:c>
    </x:row>
    <x:row r="9">
      <x:c r="A9" s="30" t="str">
        <x:v>EVT-301606-0005</x:v>
      </x:c>
      <x:c r="B9" s="30" t="str">
        <x:v>301606</x:v>
      </x:c>
      <x:c r="C9" s="30" t="str">
        <x:v>EVT-301606-0005</x:v>
      </x:c>
      <x:c r="D9" s="30" t="n">
        <x:v>5</x:v>
      </x:c>
      <x:c r="E9" s="30" t="str">
        <x:v>2021-05</x:v>
      </x:c>
      <x:c r="F9" s="30" t="str">
        <x:v>2021-05</x:v>
      </x:c>
      <x:c r="G9" s="30" t="str">
        <x:v>MONTH</x:v>
      </x:c>
      <x:c r="H9" s="30" t="str">
        <x:v>EQUITY_TRANSFER</x:v>
      </x:c>
      <x:c r="I9" s="30" t="str">
        <x:v>EQUITY_TRANSFER</x:v>
      </x:c>
      <x:c r="J9" s="73" t="b">
        <x:v>0</x:v>
      </x:c>
      <x:c r="K9" s="73" t="b">
        <x:v>0</x:v>
      </x:c>
      <x:c r="L9" s="30" t="str">
        <x:v>OUT_OF_SCOPE_EVENT_TYPE:EQUITY_TRANSFER</x:v>
      </x:c>
      <x:c r="M9" s="30" t="str">
        <x:v>WEEK7_WEEK8_UNIFIED_CALIBER_EXTENSION_TEST</x:v>
      </x:c>
      <x:c r="N9" s="48" t="n">
        <x:v>1337.442104</x:v>
      </x:c>
      <x:c r="O9" s="48" t="str">
        <x:v>DISCLOSED_COMPLETE</x:v>
      </x:c>
      <x:c r="P9" s="48" t="n">
        <x:v>1337.442104</x:v>
      </x:c>
      <x:c r="Q9" s="48" t="str">
        <x:v>DISCLOSED_COMPLETE</x:v>
      </x:c>
      <x:c r="R9" s="48"/>
      <x:c r="S9" s="48"/>
      <x:c r="T9" s="48" t="str">
        <x:v>NOT_APPLICABLE</x:v>
      </x:c>
      <x:c r="U9" s="48"/>
      <x:c r="V9" s="48"/>
      <x:c r="W9" s="48"/>
      <x:c r="X9" s="48"/>
      <x:c r="Y9" s="30" t="str">
        <x:v>EVD-301606-0005</x:v>
      </x:c>
      <x:c r="Z9" s="30" t="str">
        <x:v>STANDARDIZED_RECORD</x:v>
      </x:c>
      <x:c r="AA9" s="30" t="str">
        <x:v>FINAL_APPROVED</x:v>
      </x:c>
    </x:row>
    <x:row r="10">
      <x:c r="A10" s="30" t="str">
        <x:v>EVT-301606-0006</x:v>
      </x:c>
      <x:c r="B10" s="30" t="str">
        <x:v>301606</x:v>
      </x:c>
      <x:c r="C10" s="30" t="str">
        <x:v>EVT-301606-0006</x:v>
      </x:c>
      <x:c r="D10" s="30" t="n">
        <x:v>6</x:v>
      </x:c>
      <x:c r="E10" s="30" t="str">
        <x:v>2021-06</x:v>
      </x:c>
      <x:c r="F10" s="30" t="str">
        <x:v>2021-06</x:v>
      </x:c>
      <x:c r="G10" s="30" t="str">
        <x:v>MONTH</x:v>
      </x:c>
      <x:c r="H10" s="30" t="str">
        <x:v>OVERALL_CHANGE</x:v>
      </x:c>
      <x:c r="I10" s="30" t="str">
        <x:v>OVERALL_CHANGE</x:v>
      </x:c>
      <x:c r="J10" s="73" t="b">
        <x:v>0</x:v>
      </x:c>
      <x:c r="K10" s="73" t="b">
        <x:v>0</x:v>
      </x:c>
      <x:c r="L10" s="30" t="str">
        <x:v>OUT_OF_SCOPE_EVENT_TYPE:OVERALL_CHANGE</x:v>
      </x:c>
      <x:c r="M10" s="30" t="str">
        <x:v>WEEK7_WEEK8_UNIFIED_CALIBER_EXTENSION_TEST</x:v>
      </x:c>
      <x:c r="N10" s="48" t="n">
        <x:v>1337.442104</x:v>
      </x:c>
      <x:c r="O10" s="48" t="str">
        <x:v>DISCLOSED_COMPLETE</x:v>
      </x:c>
      <x:c r="P10" s="48" t="n">
        <x:v>25000</x:v>
      </x:c>
      <x:c r="Q10" s="48" t="str">
        <x:v>DISCLOSED_COMPLETE</x:v>
      </x:c>
      <x:c r="R10" s="48"/>
      <x:c r="S10" s="48"/>
      <x:c r="T10" s="48" t="str">
        <x:v>NOT_APPLICABLE</x:v>
      </x:c>
      <x:c r="U10" s="48"/>
      <x:c r="V10" s="48"/>
      <x:c r="W10" s="48"/>
      <x:c r="X10" s="48"/>
      <x:c r="Y10" s="30" t="str">
        <x:v>EVD-301606-0006</x:v>
      </x:c>
      <x:c r="Z10" s="30" t="str">
        <x:v>STANDARDIZED_RECORD</x:v>
      </x:c>
      <x:c r="AA10" s="30" t="str">
        <x:v>FINAL_APPROVED</x:v>
      </x:c>
    </x:row>
    <x:row r="11">
      <x:c r="A11" s="30" t="str">
        <x:v>EVT-301606-0007</x:v>
      </x:c>
      <x:c r="B11" s="30" t="str">
        <x:v>301606</x:v>
      </x:c>
      <x:c r="C11" s="30" t="str">
        <x:v>EVT-301606-0007</x:v>
      </x:c>
      <x:c r="D11" s="30" t="n">
        <x:v>7</x:v>
      </x:c>
      <x:c r="E11" s="30" t="str">
        <x:v>2021-06</x:v>
      </x:c>
      <x:c r="F11" s="30" t="str">
        <x:v>2021-06</x:v>
      </x:c>
      <x:c r="G11" s="30" t="str">
        <x:v>MONTH</x:v>
      </x:c>
      <x:c r="H11" s="30" t="str">
        <x:v>DIRECTIONAL_ISSUANCE_EMPLOYEE</x:v>
      </x:c>
      <x:c r="I11" s="30" t="str">
        <x:v>DIRECTIONAL_ISSUANCE</x:v>
      </x:c>
      <x:c r="J11" s="73" t="b">
        <x:v>1</x:v>
      </x:c>
      <x:c r="K11" s="73" t="b">
        <x:v>1</x:v>
      </x:c>
      <x:c r="L11" s="30"/>
      <x:c r="M11" s="30" t="str">
        <x:v>WEEK7_WEEK8_UNIFIED_CALIBER_EXTENSION_TEST</x:v>
      </x:c>
      <x:c r="N11" s="48" t="n">
        <x:v>25000</x:v>
      </x:c>
      <x:c r="O11" s="48" t="str">
        <x:v>DISCLOSED_COMPLETE</x:v>
      </x:c>
      <x:c r="P11" s="48" t="n">
        <x:v>25338.5226</x:v>
      </x:c>
      <x:c r="Q11" s="48" t="str">
        <x:v>DISCLOSED_COMPLETE</x:v>
      </x:c>
      <x:c r="R11" s="48" t="n">
        <x:v>668</x:v>
      </x:c>
      <x:c r="S11" s="48" t="str">
        <x:v>668.000000万元</x:v>
      </x:c>
      <x:c r="T11" s="48" t="str">
        <x:v>DISCLOSED_COMPLETE</x:v>
      </x:c>
      <x:c r="U11" s="48" t="str">
        <x:v>DISCLOSED</x:v>
      </x:c>
      <x:c r="V11" s="48" t="str">
        <x:v>CNY</x:v>
      </x:c>
      <x:c r="W11" s="48" t="str">
        <x:v>万元</x:v>
      </x:c>
      <x:c r="X11" s="48" t="str">
        <x:v>万元人民币</x:v>
      </x:c>
      <x:c r="Y11" s="30" t="str">
        <x:v>EVD-301606-0007</x:v>
      </x:c>
      <x:c r="Z11" s="30" t="str">
        <x:v>STANDARDIZED_RECORD</x:v>
      </x:c>
      <x:c r="AA11" s="30" t="str">
        <x:v>FINAL_APPROVED</x:v>
      </x:c>
    </x:row>
    <x:row r="12">
      <x:c r="A12" s="30" t="str">
        <x:v>EVT-301606-0008</x:v>
      </x:c>
      <x:c r="B12" s="30" t="str">
        <x:v>301606</x:v>
      </x:c>
      <x:c r="C12" s="30" t="str">
        <x:v>EVT-301606-0008</x:v>
      </x:c>
      <x:c r="D12" s="30" t="n">
        <x:v>8</x:v>
      </x:c>
      <x:c r="E12" s="30" t="str">
        <x:v>2021-06</x:v>
      </x:c>
      <x:c r="F12" s="30" t="str">
        <x:v>2021-06</x:v>
      </x:c>
      <x:c r="G12" s="30" t="str">
        <x:v>MONTH</x:v>
      </x:c>
      <x:c r="H12" s="30" t="str">
        <x:v>DIRECTIONAL_ISSUANCE_INSTITUTIONAL</x:v>
      </x:c>
      <x:c r="I12" s="30" t="str">
        <x:v>DIRECTIONAL_ISSUANCE</x:v>
      </x:c>
      <x:c r="J12" s="73" t="b">
        <x:v>1</x:v>
      </x:c>
      <x:c r="K12" s="73" t="b">
        <x:v>1</x:v>
      </x:c>
      <x:c r="L12" s="30"/>
      <x:c r="M12" s="30" t="str">
        <x:v>WEEK7_WEEK8_UNIFIED_CALIBER_EXTENSION_TEST</x:v>
      </x:c>
      <x:c r="N12" s="48" t="n">
        <x:v>25338.5226</x:v>
      </x:c>
      <x:c r="O12" s="48" t="str">
        <x:v>DISCLOSED_COMPLETE</x:v>
      </x:c>
      <x:c r="P12" s="48" t="n">
        <x:v>26672.129</x:v>
      </x:c>
      <x:c r="Q12" s="48" t="str">
        <x:v>DISCLOSED_COMPLETE</x:v>
      </x:c>
      <x:c r="R12" s="48" t="n">
        <x:v>30000</x:v>
      </x:c>
      <x:c r="S12" s="48" t="str">
        <x:v>30,000.000000万元</x:v>
      </x:c>
      <x:c r="T12" s="48" t="str">
        <x:v>DISCLOSED_COMPLETE</x:v>
      </x:c>
      <x:c r="U12" s="48" t="str">
        <x:v>DISCLOSED</x:v>
      </x:c>
      <x:c r="V12" s="48" t="str">
        <x:v>CNY</x:v>
      </x:c>
      <x:c r="W12" s="48" t="str">
        <x:v>万元</x:v>
      </x:c>
      <x:c r="X12" s="48" t="str">
        <x:v>万元人民币</x:v>
      </x:c>
      <x:c r="Y12" s="30" t="str">
        <x:v>EVD-301606-0008</x:v>
      </x:c>
      <x:c r="Z12" s="30" t="str">
        <x:v>STANDARDIZED_RECORD</x:v>
      </x:c>
      <x:c r="AA12" s="30" t="str">
        <x:v>FINAL_APPROVED</x:v>
      </x:c>
    </x:row>
    <x:row r="13">
      <x:c r="A13" s="31" t="str">
        <x:v>EVT-301606-0009</x:v>
      </x:c>
      <x:c r="B13" s="31" t="str">
        <x:v>301606</x:v>
      </x:c>
      <x:c r="C13" s="31" t="str">
        <x:v>EVT-301606-0009</x:v>
      </x:c>
      <x:c r="D13" s="31" t="n">
        <x:v>9</x:v>
      </x:c>
      <x:c r="E13" s="31" t="str">
        <x:v>2021-07</x:v>
      </x:c>
      <x:c r="F13" s="31" t="str">
        <x:v>2021-07</x:v>
      </x:c>
      <x:c r="G13" s="31" t="str">
        <x:v>MONTH</x:v>
      </x:c>
      <x:c r="H13" s="31" t="str">
        <x:v>CAPITAL_RESERVE_TRANSFER</x:v>
      </x:c>
      <x:c r="I13" s="31" t="str">
        <x:v>SHARE_CAPITAL_CHANGE</x:v>
      </x:c>
      <x:c r="J13" s="74" t="b">
        <x:v>0</x:v>
      </x:c>
      <x:c r="K13" s="74" t="b">
        <x:v>0</x:v>
      </x:c>
      <x:c r="L13" s="31" t="str">
        <x:v>OUT_OF_SCOPE_EVENT_TYPE:SHARE_CAPITAL_CHANGE</x:v>
      </x:c>
      <x:c r="M13" s="31" t="str">
        <x:v>WEEK7_WEEK8_UNIFIED_CALIBER_EXTENSION_TEST</x:v>
      </x:c>
      <x:c r="N13" s="49" t="n">
        <x:v>26672.129</x:v>
      </x:c>
      <x:c r="O13" s="49" t="str">
        <x:v>DISCLOSED_COMPLETE</x:v>
      </x:c>
      <x:c r="P13" s="49" t="n">
        <x:v>37340.9806</x:v>
      </x:c>
      <x:c r="Q13" s="49" t="str">
        <x:v>DISCLOSED_COMPLETE</x:v>
      </x:c>
      <x:c r="R13" s="49"/>
      <x:c r="S13" s="49"/>
      <x:c r="T13" s="49" t="str">
        <x:v>NOT_APPLICABLE</x:v>
      </x:c>
      <x:c r="U13" s="49"/>
      <x:c r="V13" s="49"/>
      <x:c r="W13" s="49"/>
      <x:c r="X13" s="49"/>
      <x:c r="Y13" s="31" t="str">
        <x:v>EVD-301606-0009</x:v>
      </x:c>
      <x:c r="Z13" s="31" t="str">
        <x:v>STANDARDIZED_RECORD</x:v>
      </x:c>
      <x:c r="AA13" s="31" t="str">
        <x:v>FINAL_APPROVED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24" hidden="0" customWidth="1"/>
    <x:col min="3" max="3" width="48" hidden="0" customWidth="1"/>
    <x:col min="4" max="4" width="48" hidden="0" customWidth="1"/>
    <x:col min="5" max="5" width="48" hidden="0" customWidth="1"/>
    <x:col min="6" max="6" width="48" hidden="0" customWidth="1"/>
    <x:col min="7" max="7" width="24" hidden="0" customWidth="1"/>
    <x:col min="8" max="8" width="18" hidden="0" customWidth="1"/>
    <x:col min="9" max="9" width="24" hidden="0" customWidth="1"/>
    <x:col min="10" max="10" width="18" hidden="0" customWidth="1"/>
    <x:col min="11" max="11" width="18" hidden="0" customWidth="1"/>
    <x:col min="12" max="12" width="24" hidden="0" customWidth="1"/>
    <x:col min="13" max="13" width="18" hidden="0" customWidth="1"/>
    <x:col min="14" max="14" width="24" hidden="0" customWidth="1"/>
    <x:col min="15" max="15" width="48" hidden="0" customWidth="1"/>
    <x:col min="16" max="16" width="48" hidden="0" customWidth="1"/>
    <x:col min="17" max="17" width="48" hidden="0" customWidth="1"/>
    <x:col min="18" max="18" width="48" hidden="0" customWidth="1"/>
    <x:col min="19" max="19" width="48" hidden="0" customWidth="1"/>
    <x:col min="20" max="20" width="18" hidden="0" customWidth="1"/>
    <x:col min="21" max="21" width="24" hidden="0" customWidth="1"/>
    <x:col min="22" max="22" width="24" hidden="0" customWidth="1"/>
    <x:col min="23" max="23" width="24" hidden="0" customWidth="1"/>
    <x:col min="24" max="24" width="48" hidden="0" customWidth="1"/>
    <x:col min="25" max="25" width="48" hidden="0" customWidth="1"/>
    <x:col min="26" max="26" width="24" hidden="0" customWidth="1"/>
    <x:col min="27" max="27" width="24" hidden="0" customWidth="1"/>
  </x:cols>
  <x:sheetData>
    <x:row r="1" ht="30" customHeight="1">
      <x:c r="A1" s="3" t="str">
        <x:v>交易表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  <x:c r="AA3" s="78"/>
    </x:row>
    <x:row r="4" ht="30" customHeight="1">
      <x:c r="A4" s="19" t="str">
        <x:v>transaction_id</x:v>
      </x:c>
      <x:c r="B4" s="20" t="str">
        <x:v>event_id</x:v>
      </x:c>
      <x:c r="C4" s="20" t="str">
        <x:v>transaction_type_source</x:v>
      </x:c>
      <x:c r="D4" s="20" t="str">
        <x:v>transaction_type_standardized</x:v>
      </x:c>
      <x:c r="E4" s="20" t="str">
        <x:v>transaction_date_original</x:v>
      </x:c>
      <x:c r="F4" s="20" t="str">
        <x:v>transaction_date_standardized</x:v>
      </x:c>
      <x:c r="G4" s="20" t="str">
        <x:v>date_role</x:v>
      </x:c>
      <x:c r="H4" s="20" t="str">
        <x:v>shares_or_capital_acquired</x:v>
      </x:c>
      <x:c r="I4" s="20" t="str">
        <x:v>quantity_status</x:v>
      </x:c>
      <x:c r="J4" s="20" t="str">
        <x:v>quantity_unit</x:v>
      </x:c>
      <x:c r="K4" s="20" t="str">
        <x:v>ownership_before</x:v>
      </x:c>
      <x:c r="L4" s="20" t="str">
        <x:v>ownership_before_status</x:v>
      </x:c>
      <x:c r="M4" s="20" t="str">
        <x:v>ownership_after</x:v>
      </x:c>
      <x:c r="N4" s="20" t="str">
        <x:v>ownership_after_status</x:v>
      </x:c>
      <x:c r="O4" s="20" t="str">
        <x:v>transaction_amount_10k_cny</x:v>
      </x:c>
      <x:c r="P4" s="20" t="str">
        <x:v>transaction_amount_original_text</x:v>
      </x:c>
      <x:c r="Q4" s="20" t="str">
        <x:v>transaction_amount_original_currency</x:v>
      </x:c>
      <x:c r="R4" s="20" t="str">
        <x:v>transaction_amount_original_unit</x:v>
      </x:c>
      <x:c r="S4" s="20" t="str">
        <x:v>transaction_amount_status</x:v>
      </x:c>
      <x:c r="T4" s="20" t="str">
        <x:v>price_per_share_or_capital</x:v>
      </x:c>
      <x:c r="U4" s="20" t="str">
        <x:v>price_status</x:v>
      </x:c>
      <x:c r="V4" s="20" t="str">
        <x:v>entry_method</x:v>
      </x:c>
      <x:c r="W4" s="20" t="str">
        <x:v>amount_source_type</x:v>
      </x:c>
      <x:c r="X4" s="20" t="str">
        <x:v>calculation_formula</x:v>
      </x:c>
      <x:c r="Y4" s="20" t="str">
        <x:v>calculation_inputs</x:v>
      </x:c>
      <x:c r="Z4" s="20" t="str">
        <x:v>primary_evidence_id</x:v>
      </x:c>
      <x:c r="AA4" s="21" t="str">
        <x:v>review_status</x:v>
      </x:c>
    </x:row>
    <x:row r="5">
      <x:c r="A5" s="29" t="str">
        <x:v>TRX-301606-0001</x:v>
      </x:c>
      <x:c r="B5" s="29" t="str">
        <x:v>EVT-301606-0001</x:v>
      </x:c>
      <x:c r="C5" s="29" t="str">
        <x:v>ESTABLISHMENT</x:v>
      </x:c>
      <x:c r="D5" s="29" t="str">
        <x:v>ESTABLISHMENT</x:v>
      </x:c>
      <x:c r="E5" s="29" t="str">
        <x:v>2012-03</x:v>
      </x:c>
      <x:c r="F5" s="29" t="str">
        <x:v>2012-03</x:v>
      </x:c>
      <x:c r="G5" s="29" t="str">
        <x:v>RESOLUTION</x:v>
      </x:c>
      <x:c r="H5" s="47"/>
      <x:c r="I5" s="47" t="str">
        <x:v>NOT_APPLICABLE</x:v>
      </x:c>
      <x:c r="J5" s="47"/>
      <x:c r="K5" s="75"/>
      <x:c r="L5" s="75" t="str">
        <x:v>NOT_APPLICABLE</x:v>
      </x:c>
      <x:c r="M5" s="75"/>
      <x:c r="N5" s="75" t="str">
        <x:v>NOT_APPLICABLE</x:v>
      </x:c>
      <x:c r="O5" s="47"/>
      <x:c r="P5" s="47"/>
      <x:c r="Q5" s="47"/>
      <x:c r="R5" s="47"/>
      <x:c r="S5" s="47" t="str">
        <x:v>NOT_APPLICABLE</x:v>
      </x:c>
      <x:c r="T5" s="47"/>
      <x:c r="U5" s="47" t="str">
        <x:v>NOT_APPLICABLE</x:v>
      </x:c>
      <x:c r="V5" s="29" t="str">
        <x:v>ESTABLISHMENT_ENTRY</x:v>
      </x:c>
      <x:c r="W5" s="47"/>
      <x:c r="X5" s="29"/>
      <x:c r="Y5" s="29"/>
      <x:c r="Z5" s="29" t="str">
        <x:v>EVD-301606-0001</x:v>
      </x:c>
      <x:c r="AA5" s="29" t="str">
        <x:v>FINAL_APPROVED</x:v>
      </x:c>
    </x:row>
    <x:row r="6">
      <x:c r="A6" s="30" t="str">
        <x:v>TRX-301606-0002</x:v>
      </x:c>
      <x:c r="B6" s="30" t="str">
        <x:v>EVT-301606-0002</x:v>
      </x:c>
      <x:c r="C6" s="30" t="str">
        <x:v>CAPITAL_INCREASE</x:v>
      </x:c>
      <x:c r="D6" s="30" t="str">
        <x:v>CAPITAL_INCREASE</x:v>
      </x:c>
      <x:c r="E6" s="30" t="str">
        <x:v>2017-10</x:v>
      </x:c>
      <x:c r="F6" s="30" t="str">
        <x:v>2017-10</x:v>
      </x:c>
      <x:c r="G6" s="30" t="str">
        <x:v>RESOLUTION</x:v>
      </x:c>
      <x:c r="H6" s="48" t="n">
        <x:v>900</x:v>
      </x:c>
      <x:c r="I6" s="48" t="str">
        <x:v>DISCLOSED_COMPLETE</x:v>
      </x:c>
      <x:c r="J6" s="48" t="str">
        <x:v>10K_CNY_REGISTERED_CAPITAL</x:v>
      </x:c>
      <x:c r="K6" s="76"/>
      <x:c r="L6" s="76" t="str">
        <x:v>NOT_APPLICABLE</x:v>
      </x:c>
      <x:c r="M6" s="76"/>
      <x:c r="N6" s="76" t="str">
        <x:v>NOT_APPLICABLE</x:v>
      </x:c>
      <x:c r="O6" s="48" t="n">
        <x:v>900</x:v>
      </x:c>
      <x:c r="P6" s="48" t="str">
        <x:v>900.000000万元</x:v>
      </x:c>
      <x:c r="Q6" s="48" t="str">
        <x:v>CNY</x:v>
      </x:c>
      <x:c r="R6" s="48" t="str">
        <x:v>万元</x:v>
      </x:c>
      <x:c r="S6" s="48" t="str">
        <x:v>DISCLOSED_COMPLETE</x:v>
      </x:c>
      <x:c r="T6" s="48" t="n">
        <x:v>1</x:v>
      </x:c>
      <x:c r="U6" s="48" t="str">
        <x:v>DISCLOSED_COMPLETE</x:v>
      </x:c>
      <x:c r="V6" s="30" t="str">
        <x:v>CAPITAL_INCREASE_ENTRY</x:v>
      </x:c>
      <x:c r="W6" s="48" t="str">
        <x:v>CALCULATED</x:v>
      </x:c>
      <x:c r="X6" s="30" t="str">
        <x:v>630+270</x:v>
      </x:c>
      <x:c r="Y6" s="30" t="str">
        <x:v>两名股东货币出资630万元、270万元</x:v>
      </x:c>
      <x:c r="Z6" s="30" t="str">
        <x:v>EVD-301606-0002</x:v>
      </x:c>
      <x:c r="AA6" s="30" t="str">
        <x:v>FINAL_APPROVED</x:v>
      </x:c>
    </x:row>
    <x:row r="7">
      <x:c r="A7" s="30" t="str">
        <x:v>TRX-301606-0003</x:v>
      </x:c>
      <x:c r="B7" s="30" t="str">
        <x:v>EVT-301606-0003</x:v>
      </x:c>
      <x:c r="C7" s="30" t="str">
        <x:v>CAPITAL_INCREASE</x:v>
      </x:c>
      <x:c r="D7" s="30" t="str">
        <x:v>CAPITAL_INCREASE</x:v>
      </x:c>
      <x:c r="E7" s="30" t="str">
        <x:v>2018-12</x:v>
      </x:c>
      <x:c r="F7" s="30" t="str">
        <x:v>2018-12</x:v>
      </x:c>
      <x:c r="G7" s="30" t="str">
        <x:v>RESOLUTION</x:v>
      </x:c>
      <x:c r="H7" s="48" t="n">
        <x:v>270.569999</x:v>
      </x:c>
      <x:c r="I7" s="48" t="str">
        <x:v>DISCLOSED_COMPLETE</x:v>
      </x:c>
      <x:c r="J7" s="48" t="str">
        <x:v>10K_CNY_REGISTERED_CAPITAL</x:v>
      </x:c>
      <x:c r="K7" s="76"/>
      <x:c r="L7" s="76" t="str">
        <x:v>NOT_APPLICABLE</x:v>
      </x:c>
      <x:c r="M7" s="76"/>
      <x:c r="N7" s="76" t="str">
        <x:v>NOT_APPLICABLE</x:v>
      </x:c>
      <x:c r="O7" s="48" t="n">
        <x:v>270.569999</x:v>
      </x:c>
      <x:c r="P7" s="48" t="str">
        <x:v>270.569999万元</x:v>
      </x:c>
      <x:c r="Q7" s="48" t="str">
        <x:v>CNY</x:v>
      </x:c>
      <x:c r="R7" s="48" t="str">
        <x:v>万元</x:v>
      </x:c>
      <x:c r="S7" s="48" t="str">
        <x:v>DISCLOSED_COMPLETE</x:v>
      </x:c>
      <x:c r="T7" s="48" t="n">
        <x:v>1</x:v>
      </x:c>
      <x:c r="U7" s="48" t="str">
        <x:v>DISCLOSED_COMPLETE</x:v>
      </x:c>
      <x:c r="V7" s="30" t="str">
        <x:v>CAPITAL_INCREASE_ENTRY</x:v>
      </x:c>
      <x:c r="W7" s="48" t="str">
        <x:v>CALCULATED</x:v>
      </x:c>
      <x:c r="X7" s="30" t="str">
        <x:v>67.278799+203.291200</x:v>
      </x:c>
      <x:c r="Y7" s="30" t="str">
        <x:v>张清森与绿联咨询新增注册资本</x:v>
      </x:c>
      <x:c r="Z7" s="30" t="str">
        <x:v>EVD-301606-0003</x:v>
      </x:c>
      <x:c r="AA7" s="30" t="str">
        <x:v>FINAL_APPROVED</x:v>
      </x:c>
    </x:row>
    <x:row r="8">
      <x:c r="A8" s="30" t="str">
        <x:v>TRX-301606-0004</x:v>
      </x:c>
      <x:c r="B8" s="30" t="str">
        <x:v>EVT-301606-0004</x:v>
      </x:c>
      <x:c r="C8" s="30" t="str">
        <x:v>CAPITAL_INCREASE</x:v>
      </x:c>
      <x:c r="D8" s="30" t="str">
        <x:v>CAPITAL_INCREASE</x:v>
      </x:c>
      <x:c r="E8" s="30" t="str">
        <x:v>2020-07</x:v>
      </x:c>
      <x:c r="F8" s="30" t="str">
        <x:v>2020-07</x:v>
      </x:c>
      <x:c r="G8" s="30" t="str">
        <x:v>RESOLUTION</x:v>
      </x:c>
      <x:c r="H8" s="48" t="n">
        <x:v>66.872105</x:v>
      </x:c>
      <x:c r="I8" s="48" t="str">
        <x:v>DISCLOSED_COMPLETE</x:v>
      </x:c>
      <x:c r="J8" s="48" t="str">
        <x:v>10K_CNY_REGISTERED_CAPITAL</x:v>
      </x:c>
      <x:c r="K8" s="76"/>
      <x:c r="L8" s="76" t="str">
        <x:v>NOT_APPLICABLE</x:v>
      </x:c>
      <x:c r="M8" s="76"/>
      <x:c r="N8" s="76" t="str">
        <x:v>NOT_APPLICABLE</x:v>
      </x:c>
      <x:c r="O8" s="48" t="n">
        <x:v>1000</x:v>
      </x:c>
      <x:c r="P8" s="48" t="str">
        <x:v>1,000.000000万元</x:v>
      </x:c>
      <x:c r="Q8" s="48" t="str">
        <x:v>CNY</x:v>
      </x:c>
      <x:c r="R8" s="48" t="str">
        <x:v>万元</x:v>
      </x:c>
      <x:c r="S8" s="48" t="str">
        <x:v>DISCLOSED_COMPLETE</x:v>
      </x:c>
      <x:c r="T8" s="48"/>
      <x:c r="U8" s="48" t="str">
        <x:v>NOT_DISCLOSED</x:v>
      </x:c>
      <x:c r="V8" s="30" t="str">
        <x:v>CAPITAL_INCREASE_ENTRY</x:v>
      </x:c>
      <x:c r="W8" s="48" t="str">
        <x:v>DISCLOSED</x:v>
      </x:c>
      <x:c r="X8" s="30"/>
      <x:c r="Y8" s="30"/>
      <x:c r="Z8" s="30" t="str">
        <x:v>EVD-301606-0004</x:v>
      </x:c>
      <x:c r="AA8" s="30" t="str">
        <x:v>FINAL_APPROVED</x:v>
      </x:c>
    </x:row>
    <x:row r="9">
      <x:c r="A9" s="30" t="str">
        <x:v>TRX-301606-0005</x:v>
      </x:c>
      <x:c r="B9" s="30" t="str">
        <x:v>EVT-301606-0005</x:v>
      </x:c>
      <x:c r="C9" s="30" t="str">
        <x:v>EQUITY_TRANSFER</x:v>
      </x:c>
      <x:c r="D9" s="30" t="str">
        <x:v>EQUITY_TRANSFER</x:v>
      </x:c>
      <x:c r="E9" s="30" t="str">
        <x:v>2021-05-06</x:v>
      </x:c>
      <x:c r="F9" s="30" t="str">
        <x:v>2021-05-06</x:v>
      </x:c>
      <x:c r="G9" s="30" t="str">
        <x:v>COMPLETION</x:v>
      </x:c>
      <x:c r="H9" s="48" t="n">
        <x:v>49.523108</x:v>
      </x:c>
      <x:c r="I9" s="48" t="str">
        <x:v>DISCLOSED_COMPLETE</x:v>
      </x:c>
      <x:c r="J9" s="48" t="str">
        <x:v>10K_CNY_REGISTERED_CAPITAL</x:v>
      </x:c>
      <x:c r="K9" s="76"/>
      <x:c r="L9" s="76" t="str">
        <x:v>NOT_APPLICABLE</x:v>
      </x:c>
      <x:c r="M9" s="76" t="n">
        <x:v>0.037028</x:v>
      </x:c>
      <x:c r="N9" s="76" t="str">
        <x:v>DISCLOSED_COMPLETE</x:v>
      </x:c>
      <x:c r="O9" s="48" t="n">
        <x:v>20000</x:v>
      </x:c>
      <x:c r="P9" s="48" t="str">
        <x:v>20,000.000000万元</x:v>
      </x:c>
      <x:c r="Q9" s="48" t="str">
        <x:v>CNY</x:v>
      </x:c>
      <x:c r="R9" s="48" t="str">
        <x:v>万元</x:v>
      </x:c>
      <x:c r="S9" s="48" t="str">
        <x:v>DISCLOSED_COMPLETE</x:v>
      </x:c>
      <x:c r="T9" s="48" t="n">
        <x:v>403.85</x:v>
      </x:c>
      <x:c r="U9" s="48" t="str">
        <x:v>DISCLOSED_COMPLETE</x:v>
      </x:c>
      <x:c r="V9" s="30" t="str">
        <x:v>TRANSFER_ENTRY</x:v>
      </x:c>
      <x:c r="W9" s="48" t="str">
        <x:v>DISCLOSED</x:v>
      </x:c>
      <x:c r="X9" s="30"/>
      <x:c r="Y9" s="30"/>
      <x:c r="Z9" s="30" t="str">
        <x:v>EVD-301606-0005</x:v>
      </x:c>
      <x:c r="AA9" s="30" t="str">
        <x:v>FINAL_APPROVED</x:v>
      </x:c>
    </x:row>
    <x:row r="10">
      <x:c r="A10" s="30" t="str">
        <x:v>TRX-301606-0006</x:v>
      </x:c>
      <x:c r="B10" s="30" t="str">
        <x:v>EVT-301606-0005</x:v>
      </x:c>
      <x:c r="C10" s="30" t="str">
        <x:v>EQUITY_TRANSFER</x:v>
      </x:c>
      <x:c r="D10" s="30" t="str">
        <x:v>EQUITY_TRANSFER</x:v>
      </x:c>
      <x:c r="E10" s="30" t="str">
        <x:v>2021-05-06</x:v>
      </x:c>
      <x:c r="F10" s="30" t="str">
        <x:v>2021-05-06</x:v>
      </x:c>
      <x:c r="G10" s="30" t="str">
        <x:v>COMPLETION</x:v>
      </x:c>
      <x:c r="H10" s="48" t="n">
        <x:v>24.779826</x:v>
      </x:c>
      <x:c r="I10" s="48" t="str">
        <x:v>DISCLOSED_COMPLETE</x:v>
      </x:c>
      <x:c r="J10" s="48" t="str">
        <x:v>10K_CNY_REGISTERED_CAPITAL</x:v>
      </x:c>
      <x:c r="K10" s="76" t="n">
        <x:v>0.037028</x:v>
      </x:c>
      <x:c r="L10" s="76" t="str">
        <x:v>DISCLOSED_COMPLETE</x:v>
      </x:c>
      <x:c r="M10" s="76" t="n">
        <x:v>0.055556</x:v>
      </x:c>
      <x:c r="N10" s="76" t="str">
        <x:v>DISCLOSED_COMPLETE</x:v>
      </x:c>
      <x:c r="O10" s="48" t="n">
        <x:v>10000</x:v>
      </x:c>
      <x:c r="P10" s="48" t="str">
        <x:v>10,000.000000万元</x:v>
      </x:c>
      <x:c r="Q10" s="48" t="str">
        <x:v>CNY</x:v>
      </x:c>
      <x:c r="R10" s="48" t="str">
        <x:v>万元</x:v>
      </x:c>
      <x:c r="S10" s="48" t="str">
        <x:v>DISCLOSED_COMPLETE</x:v>
      </x:c>
      <x:c r="T10" s="48" t="n">
        <x:v>403.55</x:v>
      </x:c>
      <x:c r="U10" s="48" t="str">
        <x:v>DISCLOSED_COMPLETE</x:v>
      </x:c>
      <x:c r="V10" s="30" t="str">
        <x:v>TRANSFER_ENTRY</x:v>
      </x:c>
      <x:c r="W10" s="48" t="str">
        <x:v>DISCLOSED</x:v>
      </x:c>
      <x:c r="X10" s="30"/>
      <x:c r="Y10" s="30"/>
      <x:c r="Z10" s="30" t="str">
        <x:v>EVD-301606-0005</x:v>
      </x:c>
      <x:c r="AA10" s="30" t="str">
        <x:v>FINAL_APPROVED</x:v>
      </x:c>
    </x:row>
    <x:row r="11">
      <x:c r="A11" s="30" t="str">
        <x:v>TRX-301606-0007</x:v>
      </x:c>
      <x:c r="B11" s="30" t="str">
        <x:v>EVT-301606-0006</x:v>
      </x:c>
      <x:c r="C11" s="30" t="str">
        <x:v>OVERALL_CHANGE</x:v>
      </x:c>
      <x:c r="D11" s="30" t="str">
        <x:v>OVERALL_CHANGE</x:v>
      </x:c>
      <x:c r="E11" s="30" t="str">
        <x:v>2021-06</x:v>
      </x:c>
      <x:c r="F11" s="30" t="str">
        <x:v>2021-06</x:v>
      </x:c>
      <x:c r="G11" s="30" t="str">
        <x:v>RESOLUTION</x:v>
      </x:c>
      <x:c r="H11" s="48"/>
      <x:c r="I11" s="48" t="str">
        <x:v>NOT_APPLICABLE</x:v>
      </x:c>
      <x:c r="J11" s="48"/>
      <x:c r="K11" s="76"/>
      <x:c r="L11" s="76" t="str">
        <x:v>NOT_APPLICABLE</x:v>
      </x:c>
      <x:c r="M11" s="76"/>
      <x:c r="N11" s="76" t="str">
        <x:v>NOT_APPLICABLE</x:v>
      </x:c>
      <x:c r="O11" s="48"/>
      <x:c r="P11" s="48"/>
      <x:c r="Q11" s="48"/>
      <x:c r="R11" s="48"/>
      <x:c r="S11" s="48" t="str">
        <x:v>NOT_APPLICABLE</x:v>
      </x:c>
      <x:c r="T11" s="48"/>
      <x:c r="U11" s="48" t="str">
        <x:v>NOT_APPLICABLE</x:v>
      </x:c>
      <x:c r="V11" s="30" t="str">
        <x:v>NOT_APPLICABLE</x:v>
      </x:c>
      <x:c r="W11" s="48"/>
      <x:c r="X11" s="30"/>
      <x:c r="Y11" s="30"/>
      <x:c r="Z11" s="30" t="str">
        <x:v>EVD-301606-0006</x:v>
      </x:c>
      <x:c r="AA11" s="30" t="str">
        <x:v>FINAL_APPROVED</x:v>
      </x:c>
    </x:row>
    <x:row r="12">
      <x:c r="A12" s="30" t="str">
        <x:v>TRX-301606-0008</x:v>
      </x:c>
      <x:c r="B12" s="30" t="str">
        <x:v>EVT-301606-0007</x:v>
      </x:c>
      <x:c r="C12" s="30" t="str">
        <x:v>DIRECTIONAL_ISSUANCE</x:v>
      </x:c>
      <x:c r="D12" s="30" t="str">
        <x:v>DIRECTIONAL_ISSUANCE</x:v>
      </x:c>
      <x:c r="E12" s="30" t="str">
        <x:v>2021-06-17</x:v>
      </x:c>
      <x:c r="F12" s="30" t="str">
        <x:v>2021-06-17</x:v>
      </x:c>
      <x:c r="G12" s="30" t="str">
        <x:v>RESOLUTION</x:v>
      </x:c>
      <x:c r="H12" s="48" t="n">
        <x:v>338.5226</x:v>
      </x:c>
      <x:c r="I12" s="48" t="str">
        <x:v>DISCLOSED_COMPLETE</x:v>
      </x:c>
      <x:c r="J12" s="48" t="str">
        <x:v>10K_SHARE</x:v>
      </x:c>
      <x:c r="K12" s="76"/>
      <x:c r="L12" s="76" t="str">
        <x:v>NOT_APPLICABLE</x:v>
      </x:c>
      <x:c r="M12" s="76"/>
      <x:c r="N12" s="76" t="str">
        <x:v>NOT_APPLICABLE</x:v>
      </x:c>
      <x:c r="O12" s="48" t="n">
        <x:v>668</x:v>
      </x:c>
      <x:c r="P12" s="48" t="str">
        <x:v>668.000000万元</x:v>
      </x:c>
      <x:c r="Q12" s="48" t="str">
        <x:v>CNY</x:v>
      </x:c>
      <x:c r="R12" s="48" t="str">
        <x:v>万元</x:v>
      </x:c>
      <x:c r="S12" s="48" t="str">
        <x:v>DISCLOSED_COMPLETE</x:v>
      </x:c>
      <x:c r="T12" s="48" t="n">
        <x:v>1.973</x:v>
      </x:c>
      <x:c r="U12" s="48" t="str">
        <x:v>DISCLOSED_COMPLETE</x:v>
      </x:c>
      <x:c r="V12" s="30" t="str">
        <x:v>DIRECTIONAL_ISSUANCE_ENTRY</x:v>
      </x:c>
      <x:c r="W12" s="48" t="str">
        <x:v>DISCLOSED</x:v>
      </x:c>
      <x:c r="X12" s="30"/>
      <x:c r="Y12" s="30"/>
      <x:c r="Z12" s="30" t="str">
        <x:v>EVD-301606-0007</x:v>
      </x:c>
      <x:c r="AA12" s="30" t="str">
        <x:v>FINAL_APPROVED</x:v>
      </x:c>
    </x:row>
    <x:row r="13">
      <x:c r="A13" s="30" t="str">
        <x:v>TRX-301606-0009</x:v>
      </x:c>
      <x:c r="B13" s="30" t="str">
        <x:v>EVT-301606-0008</x:v>
      </x:c>
      <x:c r="C13" s="30" t="str">
        <x:v>DIRECTIONAL_ISSUANCE</x:v>
      </x:c>
      <x:c r="D13" s="30" t="str">
        <x:v>DIRECTIONAL_ISSUANCE</x:v>
      </x:c>
      <x:c r="E13" s="30" t="str">
        <x:v>2021-06-25</x:v>
      </x:c>
      <x:c r="F13" s="30" t="str">
        <x:v>2021-06-25</x:v>
      </x:c>
      <x:c r="G13" s="30" t="str">
        <x:v>RESOLUTION</x:v>
      </x:c>
      <x:c r="H13" s="48" t="n">
        <x:v>1333.6064</x:v>
      </x:c>
      <x:c r="I13" s="48" t="str">
        <x:v>DISCLOSED_COMPLETE</x:v>
      </x:c>
      <x:c r="J13" s="48" t="str">
        <x:v>10K_SHARE</x:v>
      </x:c>
      <x:c r="K13" s="76"/>
      <x:c r="L13" s="76" t="str">
        <x:v>NOT_APPLICABLE</x:v>
      </x:c>
      <x:c r="M13" s="76"/>
      <x:c r="N13" s="76" t="str">
        <x:v>NOT_APPLICABLE</x:v>
      </x:c>
      <x:c r="O13" s="48" t="n">
        <x:v>30000</x:v>
      </x:c>
      <x:c r="P13" s="48" t="str">
        <x:v>30,000.000000万元</x:v>
      </x:c>
      <x:c r="Q13" s="48" t="str">
        <x:v>CNY</x:v>
      </x:c>
      <x:c r="R13" s="48" t="str">
        <x:v>万元</x:v>
      </x:c>
      <x:c r="S13" s="48" t="str">
        <x:v>DISCLOSED_COMPLETE</x:v>
      </x:c>
      <x:c r="T13" s="48" t="n">
        <x:v>22.4954</x:v>
      </x:c>
      <x:c r="U13" s="48" t="str">
        <x:v>DISCLOSED_COMPLETE</x:v>
      </x:c>
      <x:c r="V13" s="30" t="str">
        <x:v>DIRECTIONAL_ISSUANCE_ENTRY</x:v>
      </x:c>
      <x:c r="W13" s="48" t="str">
        <x:v>DISCLOSED</x:v>
      </x:c>
      <x:c r="X13" s="30"/>
      <x:c r="Y13" s="30"/>
      <x:c r="Z13" s="30" t="str">
        <x:v>EVD-301606-0008</x:v>
      </x:c>
      <x:c r="AA13" s="30" t="str">
        <x:v>FINAL_APPROVED</x:v>
      </x:c>
    </x:row>
    <x:row r="14">
      <x:c r="A14" s="31" t="str">
        <x:v>TRX-301606-0010</x:v>
      </x:c>
      <x:c r="B14" s="31" t="str">
        <x:v>EVT-301606-0009</x:v>
      </x:c>
      <x:c r="C14" s="31" t="str">
        <x:v>SHARE_CAPITAL_CHANGE</x:v>
      </x:c>
      <x:c r="D14" s="31" t="str">
        <x:v>SHARE_CAPITAL_CHANGE</x:v>
      </x:c>
      <x:c r="E14" s="31" t="str">
        <x:v>2021-07</x:v>
      </x:c>
      <x:c r="F14" s="31" t="str">
        <x:v>2021-07</x:v>
      </x:c>
      <x:c r="G14" s="31" t="str">
        <x:v>RESOLUTION</x:v>
      </x:c>
      <x:c r="H14" s="49" t="n">
        <x:v>10668.8516</x:v>
      </x:c>
      <x:c r="I14" s="49" t="str">
        <x:v>DISCLOSED_COMPLETE</x:v>
      </x:c>
      <x:c r="J14" s="49" t="str">
        <x:v>10K_SHARE</x:v>
      </x:c>
      <x:c r="K14" s="77"/>
      <x:c r="L14" s="77" t="str">
        <x:v>NOT_APPLICABLE</x:v>
      </x:c>
      <x:c r="M14" s="77"/>
      <x:c r="N14" s="77" t="str">
        <x:v>NOT_APPLICABLE</x:v>
      </x:c>
      <x:c r="O14" s="49"/>
      <x:c r="P14" s="49"/>
      <x:c r="Q14" s="49"/>
      <x:c r="R14" s="49"/>
      <x:c r="S14" s="49" t="str">
        <x:v>NOT_APPLICABLE</x:v>
      </x:c>
      <x:c r="T14" s="49"/>
      <x:c r="U14" s="49" t="str">
        <x:v>NOT_APPLICABLE</x:v>
      </x:c>
      <x:c r="V14" s="31" t="str">
        <x:v>NOT_APPLICABLE</x:v>
      </x:c>
      <x:c r="W14" s="49"/>
      <x:c r="X14" s="31"/>
      <x:c r="Y14" s="31"/>
      <x:c r="Z14" s="31" t="str">
        <x:v>EVD-301606-0009</x:v>
      </x:c>
      <x:c r="AA14" s="31" t="str">
        <x:v>FINAL_APPROVED</x:v>
      </x:c>
    </x:row>
  </x:sheetData>
  <x:mergeCells>
    <x:mergeCell ref="A1:AA1"/>
    <x:mergeCell ref="A2:AA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4" hidden="0" customWidth="1"/>
    <x:col min="4" max="4" width="24" hidden="0" customWidth="1"/>
    <x:col min="5" max="5" width="3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8" hidden="0" customWidth="1"/>
    <x:col min="13" max="13" width="24" hidden="0" customWidth="1"/>
    <x:col min="14" max="14" width="24" hidden="0" customWidth="1"/>
    <x:col min="15" max="15" width="18" hidden="0" customWidth="1"/>
    <x:col min="16" max="16" width="24" hidden="0" customWidth="1"/>
  </x:cols>
  <x:sheetData>
    <x:row r="1" ht="30" customHeight="1">
      <x:c r="A1" s="3" t="str">
        <x:v>主体表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</x:row>
    <x:row r="4" ht="30" customHeight="1">
      <x:c r="A4" s="19" t="str">
        <x:v>entity_id</x:v>
      </x:c>
      <x:c r="B4" s="20" t="str">
        <x:v>entity_namespace</x:v>
      </x:c>
      <x:c r="C4" s="20" t="str">
        <x:v>source_entity_id</x:v>
      </x:c>
      <x:c r="D4" s="20" t="str">
        <x:v>entity_name_original</x:v>
      </x:c>
      <x:c r="E4" s="20" t="str">
        <x:v>entity_name_standard</x:v>
      </x:c>
      <x:c r="F4" s="20" t="str">
        <x:v>entity_name_status</x:v>
      </x:c>
      <x:c r="G4" s="20" t="str">
        <x:v>entity_type_source</x:v>
      </x:c>
      <x:c r="H4" s="20" t="str">
        <x:v>entity_type_standardized</x:v>
      </x:c>
      <x:c r="I4" s="20" t="str">
        <x:v>entity_type_status</x:v>
      </x:c>
      <x:c r="J4" s="20" t="str">
        <x:v>source_pevc_status</x:v>
      </x:c>
      <x:c r="K4" s="20" t="str">
        <x:v>standardized_pevc_status</x:v>
      </x:c>
      <x:c r="L4" s="20" t="str">
        <x:v>pevc_basis</x:v>
      </x:c>
      <x:c r="M4" s="20" t="str">
        <x:v>canonical_entity_id</x:v>
      </x:c>
      <x:c r="N4" s="20" t="str">
        <x:v>alias_group_id</x:v>
      </x:c>
      <x:c r="O4" s="20" t="str">
        <x:v>manual_review_required</x:v>
      </x:c>
      <x:c r="P4" s="21" t="str">
        <x:v>review_status</x:v>
      </x:c>
    </x:row>
    <x:row r="5">
      <x:c r="A5" s="29" t="str">
        <x:v>STD-301606-ISSUER</x:v>
      </x:c>
      <x:c r="B5" s="29" t="str">
        <x:v>STANDARD</x:v>
      </x:c>
      <x:c r="C5" s="29" t="str">
        <x:v>STD-301606-ISSUER</x:v>
      </x:c>
      <x:c r="D5" s="29" t="str">
        <x:v>深圳市绿联科技股份有限公司</x:v>
      </x:c>
      <x:c r="E5" s="29" t="str">
        <x:v>深圳市绿联科技股份有限公司</x:v>
      </x:c>
      <x:c r="F5" s="29" t="str">
        <x:v>RECOVERED_ACCEPTED_NAME</x:v>
      </x:c>
      <x:c r="G5" s="29" t="str">
        <x:v>COMPANY</x:v>
      </x:c>
      <x:c r="H5" s="29" t="str">
        <x:v>COMPANY</x:v>
      </x:c>
      <x:c r="I5" s="29" t="str">
        <x:v>CONFIRMED</x:v>
      </x:c>
      <x:c r="J5" s="29" t="str">
        <x:v>PEVC_EXCLUDED</x:v>
      </x:c>
      <x:c r="K5" s="29" t="str">
        <x:v>PEVC_EXCLUDED</x:v>
      </x:c>
      <x:c r="L5" s="29" t="str">
        <x:v>发行人主体，不属于外部投资者。</x:v>
      </x:c>
      <x:c r="M5" s="29" t="str">
        <x:v>STD-301606-ISSUER</x:v>
      </x:c>
      <x:c r="N5" s="29"/>
      <x:c r="O5" s="72" t="b">
        <x:v>0</x:v>
      </x:c>
      <x:c r="P5" s="29" t="str">
        <x:v>FINAL_APPROVED</x:v>
      </x:c>
    </x:row>
    <x:row r="6">
      <x:c r="A6" s="30" t="str">
        <x:v>STD-301606-ZQS</x:v>
      </x:c>
      <x:c r="B6" s="30" t="str">
        <x:v>STANDARD</x:v>
      </x:c>
      <x:c r="C6" s="30" t="str">
        <x:v>STD-301606-ZQS</x:v>
      </x:c>
      <x:c r="D6" s="30" t="str">
        <x:v>张清森</x:v>
      </x:c>
      <x:c r="E6" s="30" t="str">
        <x:v>张清森</x:v>
      </x:c>
      <x:c r="F6" s="30" t="str">
        <x:v>RECOVERED_ACCEPTED_NAME</x:v>
      </x:c>
      <x:c r="G6" s="30" t="str">
        <x:v>NATURAL_PERSON</x:v>
      </x:c>
      <x:c r="H6" s="30" t="str">
        <x:v>NATURAL_PERSON</x:v>
      </x:c>
      <x:c r="I6" s="30" t="str">
        <x:v>CONFIRMED</x:v>
      </x:c>
      <x:c r="J6" s="30" t="str">
        <x:v>PEVC_EXCLUDED</x:v>
      </x:c>
      <x:c r="K6" s="30" t="str">
        <x:v>PEVC_EXCLUDED</x:v>
      </x:c>
      <x:c r="L6" s="30" t="str">
        <x:v>创始自然人股东。</x:v>
      </x:c>
      <x:c r="M6" s="30" t="str">
        <x:v>STD-301606-ZQS</x:v>
      </x:c>
      <x:c r="N6" s="30"/>
      <x:c r="O6" s="73" t="b">
        <x:v>0</x:v>
      </x:c>
      <x:c r="P6" s="30" t="str">
        <x:v>FINAL_APPROVED</x:v>
      </x:c>
    </x:row>
    <x:row r="7">
      <x:c r="A7" s="30" t="str">
        <x:v>STD-301606-CJL</x:v>
      </x:c>
      <x:c r="B7" s="30" t="str">
        <x:v>STANDARD</x:v>
      </x:c>
      <x:c r="C7" s="30" t="str">
        <x:v>STD-301606-CJL</x:v>
      </x:c>
      <x:c r="D7" s="30" t="str">
        <x:v>陈俊灵</x:v>
      </x:c>
      <x:c r="E7" s="30" t="str">
        <x:v>陈俊灵</x:v>
      </x:c>
      <x:c r="F7" s="30" t="str">
        <x:v>RECOVERED_ACCEPTED_NAME</x:v>
      </x:c>
      <x:c r="G7" s="30" t="str">
        <x:v>NATURAL_PERSON</x:v>
      </x:c>
      <x:c r="H7" s="30" t="str">
        <x:v>NATURAL_PERSON</x:v>
      </x:c>
      <x:c r="I7" s="30" t="str">
        <x:v>CONFIRMED</x:v>
      </x:c>
      <x:c r="J7" s="30" t="str">
        <x:v>PEVC_EXCLUDED</x:v>
      </x:c>
      <x:c r="K7" s="30" t="str">
        <x:v>PEVC_EXCLUDED</x:v>
      </x:c>
      <x:c r="L7" s="30" t="str">
        <x:v>创始自然人股东。</x:v>
      </x:c>
      <x:c r="M7" s="30" t="str">
        <x:v>STD-301606-CJL</x:v>
      </x:c>
      <x:c r="N7" s="30"/>
      <x:c r="O7" s="73" t="b">
        <x:v>0</x:v>
      </x:c>
      <x:c r="P7" s="30" t="str">
        <x:v>FINAL_APPROVED</x:v>
      </x:c>
    </x:row>
    <x:row r="8">
      <x:c r="A8" s="30" t="str">
        <x:v>STD-301606-LVLIANZIXUN</x:v>
      </x:c>
      <x:c r="B8" s="30" t="str">
        <x:v>STANDARD</x:v>
      </x:c>
      <x:c r="C8" s="30" t="str">
        <x:v>STD-301606-LVLIANZIXUN</x:v>
      </x:c>
      <x:c r="D8" s="30" t="str">
        <x:v>深圳市绿联咨询管理合伙企业（有限合伙）</x:v>
      </x:c>
      <x:c r="E8" s="30" t="str">
        <x:v>深圳市绿联咨询管理合伙企业（有限合伙）</x:v>
      </x:c>
      <x:c r="F8" s="30" t="str">
        <x:v>RECOVERED_ACCEPTED_NAME</x:v>
      </x:c>
      <x:c r="G8" s="30" t="str">
        <x:v>EMPLOYEE_PLATFORM</x:v>
      </x:c>
      <x:c r="H8" s="30" t="str">
        <x:v>EMPLOYEE_PLATFORM</x:v>
      </x:c>
      <x:c r="I8" s="30" t="str">
        <x:v>CONFIRMED</x:v>
      </x:c>
      <x:c r="J8" s="30" t="str">
        <x:v>PEVC_EXCLUDED</x:v>
      </x:c>
      <x:c r="K8" s="30" t="str">
        <x:v>PEVC_EXCLUDED</x:v>
      </x:c>
      <x:c r="L8" s="30" t="str">
        <x:v>招股书明确为员工持股平台。</x:v>
      </x:c>
      <x:c r="M8" s="30" t="str">
        <x:v>STD-301606-LVLIANZIXUN</x:v>
      </x:c>
      <x:c r="N8" s="30"/>
      <x:c r="O8" s="73" t="b">
        <x:v>0</x:v>
      </x:c>
      <x:c r="P8" s="30" t="str">
        <x:v>FINAL_APPROVED</x:v>
      </x:c>
    </x:row>
    <x:row r="9">
      <x:c r="A9" s="30" t="str">
        <x:v>STD-301606-LVLIANHESHUN</x:v>
      </x:c>
      <x:c r="B9" s="30" t="str">
        <x:v>STANDARD</x:v>
      </x:c>
      <x:c r="C9" s="30" t="str">
        <x:v>STD-301606-LVLIANHESHUN</x:v>
      </x:c>
      <x:c r="D9" s="30" t="str">
        <x:v>深圳市绿联和顺管理咨询合伙企业（有限合伙）</x:v>
      </x:c>
      <x:c r="E9" s="30" t="str">
        <x:v>深圳市绿联和顺管理咨询合伙企业（有限合伙）</x:v>
      </x:c>
      <x:c r="F9" s="30" t="str">
        <x:v>RECOVERED_ACCEPTED_NAME</x:v>
      </x:c>
      <x:c r="G9" s="30" t="str">
        <x:v>EMPLOYEE_PLATFORM</x:v>
      </x:c>
      <x:c r="H9" s="30" t="str">
        <x:v>EMPLOYEE_PLATFORM</x:v>
      </x:c>
      <x:c r="I9" s="30" t="str">
        <x:v>CONFIRMED</x:v>
      </x:c>
      <x:c r="J9" s="30" t="str">
        <x:v>PEVC_EXCLUDED</x:v>
      </x:c>
      <x:c r="K9" s="30" t="str">
        <x:v>PEVC_EXCLUDED</x:v>
      </x:c>
      <x:c r="L9" s="30" t="str">
        <x:v>招股书明确为员工持股平台。</x:v>
      </x:c>
      <x:c r="M9" s="30" t="str">
        <x:v>STD-301606-LVLIANHESHUN</x:v>
      </x:c>
      <x:c r="N9" s="30"/>
      <x:c r="O9" s="73" t="b">
        <x:v>0</x:v>
      </x:c>
      <x:c r="P9" s="30" t="str">
        <x:v>FINAL_APPROVED</x:v>
      </x:c>
    </x:row>
    <x:row r="10">
      <x:c r="A10" s="30" t="str">
        <x:v>STD-301606-HS2</x:v>
      </x:c>
      <x:c r="B10" s="30" t="str">
        <x:v>STANDARD</x:v>
      </x:c>
      <x:c r="C10" s="30" t="str">
        <x:v>STD-301606-HS2</x:v>
      </x:c>
      <x:c r="D10" s="30" t="str">
        <x:v>深圳市绿联和顺二号管理咨询合伙企业（有限合伙）</x:v>
      </x:c>
      <x:c r="E10" s="30" t="str">
        <x:v>深圳市绿联和顺二号管理咨询合伙企业（有限合伙）</x:v>
      </x:c>
      <x:c r="F10" s="30" t="str">
        <x:v>RECOVERED_ACCEPTED_NAME</x:v>
      </x:c>
      <x:c r="G10" s="30" t="str">
        <x:v>EMPLOYEE_PLATFORM</x:v>
      </x:c>
      <x:c r="H10" s="30" t="str">
        <x:v>EMPLOYEE_PLATFORM</x:v>
      </x:c>
      <x:c r="I10" s="30" t="str">
        <x:v>CONFIRMED</x:v>
      </x:c>
      <x:c r="J10" s="30" t="str">
        <x:v>PEVC_EXCLUDED</x:v>
      </x:c>
      <x:c r="K10" s="30" t="str">
        <x:v>PEVC_EXCLUDED</x:v>
      </x:c>
      <x:c r="L10" s="30" t="str">
        <x:v>招股书明确为员工持股平台。</x:v>
      </x:c>
      <x:c r="M10" s="30" t="str">
        <x:v>STD-301606-HS2</x:v>
      </x:c>
      <x:c r="N10" s="30"/>
      <x:c r="O10" s="73" t="b">
        <x:v>0</x:v>
      </x:c>
      <x:c r="P10" s="30" t="str">
        <x:v>FINAL_APPROVED</x:v>
      </x:c>
    </x:row>
    <x:row r="11">
      <x:c r="A11" s="30" t="str">
        <x:v>STD-301606-HS3</x:v>
      </x:c>
      <x:c r="B11" s="30" t="str">
        <x:v>STANDARD</x:v>
      </x:c>
      <x:c r="C11" s="30" t="str">
        <x:v>STD-301606-HS3</x:v>
      </x:c>
      <x:c r="D11" s="30" t="str">
        <x:v>深圳市绿联和顺三号管理咨询合伙企业（有限合伙）</x:v>
      </x:c>
      <x:c r="E11" s="30" t="str">
        <x:v>深圳市绿联和顺三号管理咨询合伙企业（有限合伙）</x:v>
      </x:c>
      <x:c r="F11" s="30" t="str">
        <x:v>RECOVERED_ACCEPTED_NAME</x:v>
      </x:c>
      <x:c r="G11" s="30" t="str">
        <x:v>EMPLOYEE_PLATFORM</x:v>
      </x:c>
      <x:c r="H11" s="30" t="str">
        <x:v>EMPLOYEE_PLATFORM</x:v>
      </x:c>
      <x:c r="I11" s="30" t="str">
        <x:v>CONFIRMED</x:v>
      </x:c>
      <x:c r="J11" s="30" t="str">
        <x:v>PEVC_EXCLUDED</x:v>
      </x:c>
      <x:c r="K11" s="30" t="str">
        <x:v>PEVC_EXCLUDED</x:v>
      </x:c>
      <x:c r="L11" s="30" t="str">
        <x:v>招股书明确为员工持股平台。</x:v>
      </x:c>
      <x:c r="M11" s="30" t="str">
        <x:v>STD-301606-HS3</x:v>
      </x:c>
      <x:c r="N11" s="30"/>
      <x:c r="O11" s="73" t="b">
        <x:v>0</x:v>
      </x:c>
      <x:c r="P11" s="30" t="str">
        <x:v>FINAL_APPROVED</x:v>
      </x:c>
    </x:row>
    <x:row r="12">
      <x:c r="A12" s="30" t="str">
        <x:v>STD-301606-HS4</x:v>
      </x:c>
      <x:c r="B12" s="30" t="str">
        <x:v>STANDARD</x:v>
      </x:c>
      <x:c r="C12" s="30" t="str">
        <x:v>STD-301606-HS4</x:v>
      </x:c>
      <x:c r="D12" s="30" t="str">
        <x:v>深圳市绿联和顺四号管理咨询合伙企业（有限合伙）</x:v>
      </x:c>
      <x:c r="E12" s="30" t="str">
        <x:v>深圳市绿联和顺四号管理咨询合伙企业（有限合伙）</x:v>
      </x:c>
      <x:c r="F12" s="30" t="str">
        <x:v>RECOVERED_ACCEPTED_NAME</x:v>
      </x:c>
      <x:c r="G12" s="30" t="str">
        <x:v>EMPLOYEE_PLATFORM</x:v>
      </x:c>
      <x:c r="H12" s="30" t="str">
        <x:v>EMPLOYEE_PLATFORM</x:v>
      </x:c>
      <x:c r="I12" s="30" t="str">
        <x:v>CONFIRMED</x:v>
      </x:c>
      <x:c r="J12" s="30" t="str">
        <x:v>PEVC_EXCLUDED</x:v>
      </x:c>
      <x:c r="K12" s="30" t="str">
        <x:v>PEVC_EXCLUDED</x:v>
      </x:c>
      <x:c r="L12" s="30" t="str">
        <x:v>招股书明确为员工持股平台。</x:v>
      </x:c>
      <x:c r="M12" s="30" t="str">
        <x:v>STD-301606-HS4</x:v>
      </x:c>
      <x:c r="N12" s="30"/>
      <x:c r="O12" s="73" t="b">
        <x:v>0</x:v>
      </x:c>
      <x:c r="P12" s="30" t="str">
        <x:v>FINAL_APPROVED</x:v>
      </x:c>
    </x:row>
    <x:row r="13">
      <x:c r="A13" s="30" t="str">
        <x:v>STD-301606-GAOLING</x:v>
      </x:c>
      <x:c r="B13" s="30" t="str">
        <x:v>STANDARD</x:v>
      </x:c>
      <x:c r="C13" s="30" t="str">
        <x:v>STD-301606-GAOLING</x:v>
      </x:c>
      <x:c r="D13" s="30" t="str">
        <x:v>珠海高瓴锡恒股权投资合伙企业（有限合伙）</x:v>
      </x:c>
      <x:c r="E13" s="30" t="str">
        <x:v>珠海高瓴锡恒股权投资合伙企业（有限合伙）</x:v>
      </x:c>
      <x:c r="F13" s="30" t="str">
        <x:v>RECOVERED_ACCEPTED_NAME</x:v>
      </x:c>
      <x:c r="G13" s="30" t="str">
        <x:v>PARTNERSHIP</x:v>
      </x:c>
      <x:c r="H13" s="30" t="str">
        <x:v>PARTNERSHIP</x:v>
      </x:c>
      <x:c r="I13" s="30" t="str">
        <x:v>CONFIRMED</x:v>
      </x:c>
      <x:c r="J13" s="30" t="str">
        <x:v>PEVC_CONFIRMED</x:v>
      </x:c>
      <x:c r="K13" s="30" t="str">
        <x:v>PEVC_CONFIRMED</x:v>
      </x:c>
      <x:c r="L13" s="30" t="str">
        <x:v>招股书明示为知名投资机构，主体为股权投资合伙企业，底层合伙人包含已备案私募基金。</x:v>
      </x:c>
      <x:c r="M13" s="30" t="str">
        <x:v>STD-301606-GAOLING</x:v>
      </x:c>
      <x:c r="N13" s="30"/>
      <x:c r="O13" s="73" t="b">
        <x:v>0</x:v>
      </x:c>
      <x:c r="P13" s="30" t="str">
        <x:v>FINAL_APPROVED</x:v>
      </x:c>
    </x:row>
    <x:row r="14">
      <x:c r="A14" s="30" t="str">
        <x:v>STD-301606-SHENZHENSHIHENG</x:v>
      </x:c>
      <x:c r="B14" s="30" t="str">
        <x:v>STANDARD</x:v>
      </x:c>
      <x:c r="C14" s="30" t="str">
        <x:v>STD-301606-SHENZHENSHIHENG</x:v>
      </x:c>
      <x:c r="D14" s="30" t="str">
        <x:v>深圳世横投资有限公司</x:v>
      </x:c>
      <x:c r="E14" s="30" t="str">
        <x:v>深圳世横投资有限公司</x:v>
      </x:c>
      <x:c r="F14" s="30" t="str">
        <x:v>RECOVERED_ACCEPTED_NAME</x:v>
      </x:c>
      <x:c r="G14" s="30" t="str">
        <x:v>COMPANY</x:v>
      </x:c>
      <x:c r="H14" s="30" t="str">
        <x:v>COMPANY</x:v>
      </x:c>
      <x:c r="I14" s="30" t="str">
        <x:v>CONFIRMED</x:v>
      </x:c>
      <x:c r="J14" s="30" t="str">
        <x:v>PEVC_CANDIDATE</x:v>
      </x:c>
      <x:c r="K14" s="30" t="str">
        <x:v>PEVC_CANDIDATE</x:v>
      </x:c>
      <x:c r="L14" s="30" t="str">
        <x:v>经营范围含创业投资，但招股书未明示其为私募基金或管理人，保守列候选。</x:v>
      </x:c>
      <x:c r="M14" s="30" t="str">
        <x:v>STD-301606-SHENZHENSHIHENG</x:v>
      </x:c>
      <x:c r="N14" s="30"/>
      <x:c r="O14" s="73" t="b">
        <x:v>0</x:v>
      </x:c>
      <x:c r="P14" s="30" t="str">
        <x:v>FINAL_APPROVED</x:v>
      </x:c>
    </x:row>
    <x:row r="15">
      <x:c r="A15" s="30" t="str">
        <x:v>STD-301606-YUANDA</x:v>
      </x:c>
      <x:c r="B15" s="30" t="str">
        <x:v>STANDARD</x:v>
      </x:c>
      <x:c r="C15" s="30" t="str">
        <x:v>STD-301606-YUANDA</x:v>
      </x:c>
      <x:c r="D15" s="30" t="str">
        <x:v>广东远大方略管理咨询有限公司</x:v>
      </x:c>
      <x:c r="E15" s="30" t="str">
        <x:v>广东远大方略管理咨询有限公司</x:v>
      </x:c>
      <x:c r="F15" s="30" t="str">
        <x:v>RECOVERED_ACCEPTED_NAME</x:v>
      </x:c>
      <x:c r="G15" s="30" t="str">
        <x:v>COMPANY</x:v>
      </x:c>
      <x:c r="H15" s="30" t="str">
        <x:v>COMPANY</x:v>
      </x:c>
      <x:c r="I15" s="30" t="str">
        <x:v>CONFIRMED</x:v>
      </x:c>
      <x:c r="J15" s="30" t="str">
        <x:v>PEVC_EXCLUDED</x:v>
      </x:c>
      <x:c r="K15" s="30" t="str">
        <x:v>PEVC_EXCLUDED</x:v>
      </x:c>
      <x:c r="L15" s="30" t="str">
        <x:v>主营管理咨询，招股书未提供PE/VC身份依据。</x:v>
      </x:c>
      <x:c r="M15" s="30" t="str">
        <x:v>STD-301606-YUANDA</x:v>
      </x:c>
      <x:c r="N15" s="30"/>
      <x:c r="O15" s="73" t="b">
        <x:v>0</x:v>
      </x:c>
      <x:c r="P15" s="30" t="str">
        <x:v>FINAL_APPROVED</x:v>
      </x:c>
    </x:row>
    <x:row r="16">
      <x:c r="A16" s="31" t="str">
        <x:v>STD-301606-JIANGUO</x:v>
      </x:c>
      <x:c r="B16" s="31" t="str">
        <x:v>STANDARD</x:v>
      </x:c>
      <x:c r="C16" s="31" t="str">
        <x:v>STD-301606-JIANGUO</x:v>
      </x:c>
      <x:c r="D16" s="31" t="str">
        <x:v>厦门坚果核力创业投资合伙企业（有限合伙）</x:v>
      </x:c>
      <x:c r="E16" s="31" t="str">
        <x:v>厦门坚果核力创业投资合伙企业（有限合伙）</x:v>
      </x:c>
      <x:c r="F16" s="31" t="str">
        <x:v>RECOVERED_ACCEPTED_NAME</x:v>
      </x:c>
      <x:c r="G16" s="31" t="str">
        <x:v>FUND</x:v>
      </x:c>
      <x:c r="H16" s="31" t="str">
        <x:v>FUND</x:v>
      </x:c>
      <x:c r="I16" s="31" t="str">
        <x:v>CONFIRMED</x:v>
      </x:c>
      <x:c r="J16" s="31" t="str">
        <x:v>PEVC_CONFIRMED</x:v>
      </x:c>
      <x:c r="K16" s="31" t="str">
        <x:v>PEVC_CONFIRMED</x:v>
      </x:c>
      <x:c r="L16" s="31" t="str">
        <x:v>招股书明确其为已备案股权投资基金。</x:v>
      </x:c>
      <x:c r="M16" s="31" t="str">
        <x:v>STD-301606-JIANGUO</x:v>
      </x:c>
      <x:c r="N16" s="31"/>
      <x:c r="O16" s="74" t="b">
        <x:v>0</x:v>
      </x:c>
      <x:c r="P16" s="31" t="str">
        <x:v>FINAL_APPROVED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48" hidden="0" customWidth="1"/>
    <x:col min="3" max="3" width="24" hidden="0" customWidth="1"/>
    <x:col min="4" max="4" width="24" hidden="0" customWidth="1"/>
    <x:col min="5" max="5" width="24" hidden="0" customWidth="1"/>
    <x:col min="6" max="6" width="18" hidden="0" customWidth="1"/>
    <x:col min="7" max="7" width="24" hidden="0" customWidth="1"/>
    <x:col min="8" max="8" width="18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0" customHeight="1">
      <x:c r="A1" s="3" t="str">
        <x:v>交易参与方表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</x:row>
    <x:row r="4" ht="30" customHeight="1">
      <x:c r="A4" s="19" t="str">
        <x:v>transaction_id</x:v>
      </x:c>
      <x:c r="B4" s="20" t="str">
        <x:v>transaction_party_id</x:v>
      </x:c>
      <x:c r="C4" s="20" t="str">
        <x:v>entity_id</x:v>
      </x:c>
      <x:c r="D4" s="20" t="str">
        <x:v>entity_role_source</x:v>
      </x:c>
      <x:c r="E4" s="20" t="str">
        <x:v>entity_role_standardized</x:v>
      </x:c>
      <x:c r="F4" s="20" t="str">
        <x:v>amount_attributed_10k_cny</x:v>
      </x:c>
      <x:c r="G4" s="20" t="str">
        <x:v>amount_attributed_status</x:v>
      </x:c>
      <x:c r="H4" s="20" t="str">
        <x:v>ownership_acquired</x:v>
      </x:c>
      <x:c r="I4" s="20" t="str">
        <x:v>ownership_acquired_status</x:v>
      </x:c>
      <x:c r="J4" s="20" t="str">
        <x:v>relation_source_type</x:v>
      </x:c>
      <x:c r="K4" s="20" t="str">
        <x:v>evidence_id</x:v>
      </x:c>
      <x:c r="L4" s="21" t="str">
        <x:v>review_status</x:v>
      </x:c>
    </x:row>
    <x:row r="5">
      <x:c r="A5" s="29" t="str">
        <x:v>TRX-301606-0001</x:v>
      </x:c>
      <x:c r="B5" s="29" t="str">
        <x:v>TP-301606-0001</x:v>
      </x:c>
      <x:c r="C5" s="29" t="str">
        <x:v>STD-301606-ZQS</x:v>
      </x:c>
      <x:c r="D5" s="29" t="str">
        <x:v>FOUNDER</x:v>
      </x:c>
      <x:c r="E5" s="29" t="str">
        <x:v>FOUNDER</x:v>
      </x:c>
      <x:c r="F5" s="47"/>
      <x:c r="G5" s="47" t="str">
        <x:v>NOT_APPLICABLE</x:v>
      </x:c>
      <x:c r="H5" s="75" t="n">
        <x:v>0.7</x:v>
      </x:c>
      <x:c r="I5" s="75" t="str">
        <x:v>DISCLOSED_COMPLETE</x:v>
      </x:c>
      <x:c r="J5" s="29" t="str">
        <x:v>DISCLOSED</x:v>
      </x:c>
      <x:c r="K5" s="29" t="str">
        <x:v>EVD-301606-0001</x:v>
      </x:c>
      <x:c r="L5" s="29" t="str">
        <x:v>FINAL_APPROVED</x:v>
      </x:c>
    </x:row>
    <x:row r="6">
      <x:c r="A6" s="30" t="str">
        <x:v>TRX-301606-0001</x:v>
      </x:c>
      <x:c r="B6" s="30" t="str">
        <x:v>TP-301606-0002</x:v>
      </x:c>
      <x:c r="C6" s="30" t="str">
        <x:v>STD-301606-CJL</x:v>
      </x:c>
      <x:c r="D6" s="30" t="str">
        <x:v>FOUNDER</x:v>
      </x:c>
      <x:c r="E6" s="30" t="str">
        <x:v>FOUNDER</x:v>
      </x:c>
      <x:c r="F6" s="48"/>
      <x:c r="G6" s="48" t="str">
        <x:v>NOT_APPLICABLE</x:v>
      </x:c>
      <x:c r="H6" s="76" t="n">
        <x:v>0.3</x:v>
      </x:c>
      <x:c r="I6" s="76" t="str">
        <x:v>DISCLOSED_COMPLETE</x:v>
      </x:c>
      <x:c r="J6" s="30" t="str">
        <x:v>DISCLOSED</x:v>
      </x:c>
      <x:c r="K6" s="30" t="str">
        <x:v>EVD-301606-0001</x:v>
      </x:c>
      <x:c r="L6" s="30" t="str">
        <x:v>FINAL_APPROVED</x:v>
      </x:c>
    </x:row>
    <x:row r="7">
      <x:c r="A7" s="30" t="str">
        <x:v>TRX-301606-0002</x:v>
      </x:c>
      <x:c r="B7" s="30" t="str">
        <x:v>TP-301606-0003</x:v>
      </x:c>
      <x:c r="C7" s="30" t="str">
        <x:v>STD-301606-ZQS</x:v>
      </x:c>
      <x:c r="D7" s="30" t="str">
        <x:v>INVESTOR</x:v>
      </x:c>
      <x:c r="E7" s="30" t="str">
        <x:v>INVESTOR</x:v>
      </x:c>
      <x:c r="F7" s="48" t="n">
        <x:v>630</x:v>
      </x:c>
      <x:c r="G7" s="48" t="str">
        <x:v>DISCLOSED_COMPLETE</x:v>
      </x:c>
      <x:c r="H7" s="76"/>
      <x:c r="I7" s="76" t="str">
        <x:v>NOT_APPLICABLE</x:v>
      </x:c>
      <x:c r="J7" s="30" t="str">
        <x:v>DISCLOSED</x:v>
      </x:c>
      <x:c r="K7" s="30" t="str">
        <x:v>EVD-301606-0002</x:v>
      </x:c>
      <x:c r="L7" s="30" t="str">
        <x:v>FINAL_APPROVED</x:v>
      </x:c>
    </x:row>
    <x:row r="8">
      <x:c r="A8" s="30" t="str">
        <x:v>TRX-301606-0002</x:v>
      </x:c>
      <x:c r="B8" s="30" t="str">
        <x:v>TP-301606-0004</x:v>
      </x:c>
      <x:c r="C8" s="30" t="str">
        <x:v>STD-301606-CJL</x:v>
      </x:c>
      <x:c r="D8" s="30" t="str">
        <x:v>INVESTOR</x:v>
      </x:c>
      <x:c r="E8" s="30" t="str">
        <x:v>INVESTOR</x:v>
      </x:c>
      <x:c r="F8" s="48" t="n">
        <x:v>270</x:v>
      </x:c>
      <x:c r="G8" s="48" t="str">
        <x:v>DISCLOSED_COMPLETE</x:v>
      </x:c>
      <x:c r="H8" s="76"/>
      <x:c r="I8" s="76" t="str">
        <x:v>NOT_APPLICABLE</x:v>
      </x:c>
      <x:c r="J8" s="30" t="str">
        <x:v>DISCLOSED</x:v>
      </x:c>
      <x:c r="K8" s="30" t="str">
        <x:v>EVD-301606-0002</x:v>
      </x:c>
      <x:c r="L8" s="30" t="str">
        <x:v>FINAL_APPROVED</x:v>
      </x:c>
    </x:row>
    <x:row r="9">
      <x:c r="A9" s="30" t="str">
        <x:v>TRX-301606-0003</x:v>
      </x:c>
      <x:c r="B9" s="30" t="str">
        <x:v>TP-301606-0005</x:v>
      </x:c>
      <x:c r="C9" s="30" t="str">
        <x:v>STD-301606-ZQS</x:v>
      </x:c>
      <x:c r="D9" s="30" t="str">
        <x:v>INVESTOR</x:v>
      </x:c>
      <x:c r="E9" s="30" t="str">
        <x:v>INVESTOR</x:v>
      </x:c>
      <x:c r="F9" s="48" t="n">
        <x:v>67.278799</x:v>
      </x:c>
      <x:c r="G9" s="48" t="str">
        <x:v>DISCLOSED_COMPLETE</x:v>
      </x:c>
      <x:c r="H9" s="76"/>
      <x:c r="I9" s="76" t="str">
        <x:v>NOT_APPLICABLE</x:v>
      </x:c>
      <x:c r="J9" s="30" t="str">
        <x:v>DISCLOSED</x:v>
      </x:c>
      <x:c r="K9" s="30" t="str">
        <x:v>EVD-301606-0003</x:v>
      </x:c>
      <x:c r="L9" s="30" t="str">
        <x:v>FINAL_APPROVED</x:v>
      </x:c>
    </x:row>
    <x:row r="10">
      <x:c r="A10" s="30" t="str">
        <x:v>TRX-301606-0003</x:v>
      </x:c>
      <x:c r="B10" s="30" t="str">
        <x:v>TP-301606-0006</x:v>
      </x:c>
      <x:c r="C10" s="30" t="str">
        <x:v>STD-301606-LVLIANZIXUN</x:v>
      </x:c>
      <x:c r="D10" s="30" t="str">
        <x:v>INVESTOR</x:v>
      </x:c>
      <x:c r="E10" s="30" t="str">
        <x:v>INVESTOR</x:v>
      </x:c>
      <x:c r="F10" s="48" t="n">
        <x:v>203.2912</x:v>
      </x:c>
      <x:c r="G10" s="48" t="str">
        <x:v>DISCLOSED_COMPLETE</x:v>
      </x:c>
      <x:c r="H10" s="76" t="n">
        <x:v>0.16</x:v>
      </x:c>
      <x:c r="I10" s="76" t="str">
        <x:v>DISCLOSED_COMPLETE</x:v>
      </x:c>
      <x:c r="J10" s="30" t="str">
        <x:v>DISCLOSED</x:v>
      </x:c>
      <x:c r="K10" s="30" t="str">
        <x:v>EVD-301606-0003</x:v>
      </x:c>
      <x:c r="L10" s="30" t="str">
        <x:v>FINAL_APPROVED</x:v>
      </x:c>
    </x:row>
    <x:row r="11">
      <x:c r="A11" s="30" t="str">
        <x:v>TRX-301606-0004</x:v>
      </x:c>
      <x:c r="B11" s="30" t="str">
        <x:v>TP-301606-0007</x:v>
      </x:c>
      <x:c r="C11" s="30" t="str">
        <x:v>STD-301606-LVLIANHESHUN</x:v>
      </x:c>
      <x:c r="D11" s="30" t="str">
        <x:v>INVESTOR</x:v>
      </x:c>
      <x:c r="E11" s="30" t="str">
        <x:v>INVESTOR</x:v>
      </x:c>
      <x:c r="F11" s="48" t="n">
        <x:v>1000</x:v>
      </x:c>
      <x:c r="G11" s="48" t="str">
        <x:v>DISCLOSED_COMPLETE</x:v>
      </x:c>
      <x:c r="H11" s="76" t="n">
        <x:v>0.05</x:v>
      </x:c>
      <x:c r="I11" s="76" t="str">
        <x:v>DISCLOSED_COMPLETE</x:v>
      </x:c>
      <x:c r="J11" s="30" t="str">
        <x:v>DISCLOSED</x:v>
      </x:c>
      <x:c r="K11" s="30" t="str">
        <x:v>EVD-301606-0004</x:v>
      </x:c>
      <x:c r="L11" s="30" t="str">
        <x:v>FINAL_APPROVED</x:v>
      </x:c>
    </x:row>
    <x:row r="12">
      <x:c r="A12" s="30" t="str">
        <x:v>TRX-301606-0005</x:v>
      </x:c>
      <x:c r="B12" s="30" t="str">
        <x:v>TP-301606-0008</x:v>
      </x:c>
      <x:c r="C12" s="30" t="str">
        <x:v>STD-301606-ZQS</x:v>
      </x:c>
      <x:c r="D12" s="30" t="str">
        <x:v>TRANSFEROR</x:v>
      </x:c>
      <x:c r="E12" s="30" t="str">
        <x:v>TRANSFEROR</x:v>
      </x:c>
      <x:c r="F12" s="48"/>
      <x:c r="G12" s="48" t="str">
        <x:v>NOT_APPLICABLE</x:v>
      </x:c>
      <x:c r="H12" s="76"/>
      <x:c r="I12" s="76" t="str">
        <x:v>NOT_APPLICABLE</x:v>
      </x:c>
      <x:c r="J12" s="30" t="str">
        <x:v>DISCLOSED</x:v>
      </x:c>
      <x:c r="K12" s="30" t="str">
        <x:v>EVD-301606-0005</x:v>
      </x:c>
      <x:c r="L12" s="30" t="str">
        <x:v>FINAL_APPROVED</x:v>
      </x:c>
    </x:row>
    <x:row r="13">
      <x:c r="A13" s="30" t="str">
        <x:v>TRX-301606-0005</x:v>
      </x:c>
      <x:c r="B13" s="30" t="str">
        <x:v>TP-301606-0009</x:v>
      </x:c>
      <x:c r="C13" s="30" t="str">
        <x:v>STD-301606-GAOLING</x:v>
      </x:c>
      <x:c r="D13" s="30" t="str">
        <x:v>TRANSFEREE</x:v>
      </x:c>
      <x:c r="E13" s="30" t="str">
        <x:v>TRANSFEREE</x:v>
      </x:c>
      <x:c r="F13" s="48" t="n">
        <x:v>20000</x:v>
      </x:c>
      <x:c r="G13" s="48" t="str">
        <x:v>DISCLOSED_COMPLETE</x:v>
      </x:c>
      <x:c r="H13" s="76" t="n">
        <x:v>0.037028</x:v>
      </x:c>
      <x:c r="I13" s="76" t="str">
        <x:v>DISCLOSED_COMPLETE</x:v>
      </x:c>
      <x:c r="J13" s="30" t="str">
        <x:v>DISCLOSED</x:v>
      </x:c>
      <x:c r="K13" s="30" t="str">
        <x:v>EVD-301606-0005</x:v>
      </x:c>
      <x:c r="L13" s="30" t="str">
        <x:v>FINAL_APPROVED</x:v>
      </x:c>
    </x:row>
    <x:row r="14">
      <x:c r="A14" s="30" t="str">
        <x:v>TRX-301606-0006</x:v>
      </x:c>
      <x:c r="B14" s="30" t="str">
        <x:v>TP-301606-0010</x:v>
      </x:c>
      <x:c r="C14" s="30" t="str">
        <x:v>STD-301606-CJL</x:v>
      </x:c>
      <x:c r="D14" s="30" t="str">
        <x:v>TRANSFEROR</x:v>
      </x:c>
      <x:c r="E14" s="30" t="str">
        <x:v>TRANSFEROR</x:v>
      </x:c>
      <x:c r="F14" s="48"/>
      <x:c r="G14" s="48" t="str">
        <x:v>NOT_APPLICABLE</x:v>
      </x:c>
      <x:c r="H14" s="76"/>
      <x:c r="I14" s="76" t="str">
        <x:v>NOT_APPLICABLE</x:v>
      </x:c>
      <x:c r="J14" s="30" t="str">
        <x:v>DISCLOSED</x:v>
      </x:c>
      <x:c r="K14" s="30" t="str">
        <x:v>EVD-301606-0005</x:v>
      </x:c>
      <x:c r="L14" s="30" t="str">
        <x:v>FINAL_APPROVED</x:v>
      </x:c>
    </x:row>
    <x:row r="15">
      <x:c r="A15" s="30" t="str">
        <x:v>TRX-301606-0006</x:v>
      </x:c>
      <x:c r="B15" s="30" t="str">
        <x:v>TP-301606-0011</x:v>
      </x:c>
      <x:c r="C15" s="30" t="str">
        <x:v>STD-301606-GAOLING</x:v>
      </x:c>
      <x:c r="D15" s="30" t="str">
        <x:v>TRANSFEREE</x:v>
      </x:c>
      <x:c r="E15" s="30" t="str">
        <x:v>TRANSFEREE</x:v>
      </x:c>
      <x:c r="F15" s="48" t="n">
        <x:v>10000</x:v>
      </x:c>
      <x:c r="G15" s="48" t="str">
        <x:v>DISCLOSED_COMPLETE</x:v>
      </x:c>
      <x:c r="H15" s="76" t="n">
        <x:v>0.018528</x:v>
      </x:c>
      <x:c r="I15" s="76" t="str">
        <x:v>DISCLOSED_COMPLETE</x:v>
      </x:c>
      <x:c r="J15" s="30" t="str">
        <x:v>DISCLOSED</x:v>
      </x:c>
      <x:c r="K15" s="30" t="str">
        <x:v>EVD-301606-0005</x:v>
      </x:c>
      <x:c r="L15" s="30" t="str">
        <x:v>FINAL_APPROVED</x:v>
      </x:c>
    </x:row>
    <x:row r="16">
      <x:c r="A16" s="30" t="str">
        <x:v>TRX-301606-0008</x:v>
      </x:c>
      <x:c r="B16" s="30" t="str">
        <x:v>TP-301606-0012</x:v>
      </x:c>
      <x:c r="C16" s="30" t="str">
        <x:v>STD-301606-HS2</x:v>
      </x:c>
      <x:c r="D16" s="30" t="str">
        <x:v>INVESTOR</x:v>
      </x:c>
      <x:c r="E16" s="30" t="str">
        <x:v>INVESTOR</x:v>
      </x:c>
      <x:c r="F16" s="48"/>
      <x:c r="G16" s="48" t="str">
        <x:v>NOT_CALCULABLE</x:v>
      </x:c>
      <x:c r="H16" s="76" t="n">
        <x:v>0.00398</x:v>
      </x:c>
      <x:c r="I16" s="76" t="str">
        <x:v>DISCLOSED_COMPLETE</x:v>
      </x:c>
      <x:c r="J16" s="30" t="str">
        <x:v>DISCLOSED</x:v>
      </x:c>
      <x:c r="K16" s="30" t="str">
        <x:v>EVD-301606-0007</x:v>
      </x:c>
      <x:c r="L16" s="30" t="str">
        <x:v>FINAL_APPROVED</x:v>
      </x:c>
    </x:row>
    <x:row r="17">
      <x:c r="A17" s="30" t="str">
        <x:v>TRX-301606-0008</x:v>
      </x:c>
      <x:c r="B17" s="30" t="str">
        <x:v>TP-301606-0013</x:v>
      </x:c>
      <x:c r="C17" s="30" t="str">
        <x:v>STD-301606-HS3</x:v>
      </x:c>
      <x:c r="D17" s="30" t="str">
        <x:v>INVESTOR</x:v>
      </x:c>
      <x:c r="E17" s="30" t="str">
        <x:v>INVESTOR</x:v>
      </x:c>
      <x:c r="F17" s="48"/>
      <x:c r="G17" s="48" t="str">
        <x:v>NOT_CALCULABLE</x:v>
      </x:c>
      <x:c r="H17" s="76" t="n">
        <x:v>0.00452</x:v>
      </x:c>
      <x:c r="I17" s="76" t="str">
        <x:v>DISCLOSED_COMPLETE</x:v>
      </x:c>
      <x:c r="J17" s="30" t="str">
        <x:v>DISCLOSED</x:v>
      </x:c>
      <x:c r="K17" s="30" t="str">
        <x:v>EVD-301606-0007</x:v>
      </x:c>
      <x:c r="L17" s="30" t="str">
        <x:v>FINAL_APPROVED</x:v>
      </x:c>
    </x:row>
    <x:row r="18">
      <x:c r="A18" s="30" t="str">
        <x:v>TRX-301606-0008</x:v>
      </x:c>
      <x:c r="B18" s="30" t="str">
        <x:v>TP-301606-0014</x:v>
      </x:c>
      <x:c r="C18" s="30" t="str">
        <x:v>STD-301606-HS4</x:v>
      </x:c>
      <x:c r="D18" s="30" t="str">
        <x:v>INVESTOR</x:v>
      </x:c>
      <x:c r="E18" s="30" t="str">
        <x:v>INVESTOR</x:v>
      </x:c>
      <x:c r="F18" s="48"/>
      <x:c r="G18" s="48" t="str">
        <x:v>NOT_CALCULABLE</x:v>
      </x:c>
      <x:c r="H18" s="76" t="n">
        <x:v>0.00486</x:v>
      </x:c>
      <x:c r="I18" s="76" t="str">
        <x:v>DISCLOSED_COMPLETE</x:v>
      </x:c>
      <x:c r="J18" s="30" t="str">
        <x:v>DISCLOSED</x:v>
      </x:c>
      <x:c r="K18" s="30" t="str">
        <x:v>EVD-301606-0007</x:v>
      </x:c>
      <x:c r="L18" s="30" t="str">
        <x:v>FINAL_APPROVED</x:v>
      </x:c>
    </x:row>
    <x:row r="19">
      <x:c r="A19" s="30" t="str">
        <x:v>TRX-301606-0009</x:v>
      </x:c>
      <x:c r="B19" s="30" t="str">
        <x:v>TP-301606-0015</x:v>
      </x:c>
      <x:c r="C19" s="30" t="str">
        <x:v>STD-301606-GAOLING</x:v>
      </x:c>
      <x:c r="D19" s="30" t="str">
        <x:v>INVESTOR</x:v>
      </x:c>
      <x:c r="E19" s="30" t="str">
        <x:v>INVESTOR</x:v>
      </x:c>
      <x:c r="F19" s="48" t="n">
        <x:v>25000</x:v>
      </x:c>
      <x:c r="G19" s="48" t="str">
        <x:v>DISCLOSED_COMPLETE</x:v>
      </x:c>
      <x:c r="H19" s="76" t="n">
        <x:v>0.09374</x:v>
      </x:c>
      <x:c r="I19" s="76" t="str">
        <x:v>DISCLOSED_COMPLETE</x:v>
      </x:c>
      <x:c r="J19" s="30" t="str">
        <x:v>DISCLOSED</x:v>
      </x:c>
      <x:c r="K19" s="30" t="str">
        <x:v>EVD-301606-0008</x:v>
      </x:c>
      <x:c r="L19" s="30" t="str">
        <x:v>FINAL_APPROVED</x:v>
      </x:c>
    </x:row>
    <x:row r="20">
      <x:c r="A20" s="30" t="str">
        <x:v>TRX-301606-0009</x:v>
      </x:c>
      <x:c r="B20" s="30" t="str">
        <x:v>TP-301606-0016</x:v>
      </x:c>
      <x:c r="C20" s="30" t="str">
        <x:v>STD-301606-SHENZHENSHIHENG</x:v>
      </x:c>
      <x:c r="D20" s="30" t="str">
        <x:v>INVESTOR</x:v>
      </x:c>
      <x:c r="E20" s="30" t="str">
        <x:v>INVESTOR</x:v>
      </x:c>
      <x:c r="F20" s="48" t="n">
        <x:v>2000</x:v>
      </x:c>
      <x:c r="G20" s="48" t="str">
        <x:v>DISCLOSED_COMPLETE</x:v>
      </x:c>
      <x:c r="H20" s="76" t="n">
        <x:v>0.003333</x:v>
      </x:c>
      <x:c r="I20" s="76" t="str">
        <x:v>DISCLOSED_COMPLETE</x:v>
      </x:c>
      <x:c r="J20" s="30" t="str">
        <x:v>DISCLOSED</x:v>
      </x:c>
      <x:c r="K20" s="30" t="str">
        <x:v>EVD-301606-0008</x:v>
      </x:c>
      <x:c r="L20" s="30" t="str">
        <x:v>FINAL_APPROVED</x:v>
      </x:c>
    </x:row>
    <x:row r="21">
      <x:c r="A21" s="30" t="str">
        <x:v>TRX-301606-0009</x:v>
      </x:c>
      <x:c r="B21" s="30" t="str">
        <x:v>TP-301606-0017</x:v>
      </x:c>
      <x:c r="C21" s="30" t="str">
        <x:v>STD-301606-YUANDA</x:v>
      </x:c>
      <x:c r="D21" s="30" t="str">
        <x:v>INVESTOR</x:v>
      </x:c>
      <x:c r="E21" s="30" t="str">
        <x:v>INVESTOR</x:v>
      </x:c>
      <x:c r="F21" s="48" t="n">
        <x:v>1500</x:v>
      </x:c>
      <x:c r="G21" s="48" t="str">
        <x:v>DISCLOSED_COMPLETE</x:v>
      </x:c>
      <x:c r="H21" s="76" t="n">
        <x:v>0.0025</x:v>
      </x:c>
      <x:c r="I21" s="76" t="str">
        <x:v>DISCLOSED_COMPLETE</x:v>
      </x:c>
      <x:c r="J21" s="30" t="str">
        <x:v>DISCLOSED</x:v>
      </x:c>
      <x:c r="K21" s="30" t="str">
        <x:v>EVD-301606-0008</x:v>
      </x:c>
      <x:c r="L21" s="30" t="str">
        <x:v>FINAL_APPROVED</x:v>
      </x:c>
    </x:row>
    <x:row r="22">
      <x:c r="A22" s="31" t="str">
        <x:v>TRX-301606-0009</x:v>
      </x:c>
      <x:c r="B22" s="31" t="str">
        <x:v>TP-301606-0018</x:v>
      </x:c>
      <x:c r="C22" s="31" t="str">
        <x:v>STD-301606-JIANGUO</x:v>
      </x:c>
      <x:c r="D22" s="31" t="str">
        <x:v>INVESTOR</x:v>
      </x:c>
      <x:c r="E22" s="31" t="str">
        <x:v>INVESTOR</x:v>
      </x:c>
      <x:c r="F22" s="49" t="n">
        <x:v>1500</x:v>
      </x:c>
      <x:c r="G22" s="49" t="str">
        <x:v>DISCLOSED_COMPLETE</x:v>
      </x:c>
      <x:c r="H22" s="77" t="n">
        <x:v>0.0025</x:v>
      </x:c>
      <x:c r="I22" s="77" t="str">
        <x:v>DISCLOSED_COMPLETE</x:v>
      </x:c>
      <x:c r="J22" s="31" t="str">
        <x:v>DISCLOSED</x:v>
      </x:c>
      <x:c r="K22" s="31" t="str">
        <x:v>EVD-301606-0008</x:v>
      </x:c>
      <x:c r="L22" s="31" t="str">
        <x:v>FINAL_APPROVED</x:v>
      </x:c>
    </x:row>
  </x:sheetData>
  <x:mergeCells>
    <x:mergeCell ref="A1:L1"/>
    <x:mergeCell ref="A2:L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4" hidden="0" customWidth="1"/>
    <x:col min="12" max="12" width="48" hidden="0" customWidth="1"/>
    <x:col min="13" max="13" width="48" hidden="0" customWidth="1"/>
    <x:col min="14" max="14" width="48" hidden="0" customWidth="1"/>
    <x:col min="15" max="15" width="24" hidden="0" customWidth="1"/>
    <x:col min="16" max="16" width="24" hidden="0" customWidth="1"/>
    <x:col min="17" max="17" width="48" hidden="0" customWidth="1"/>
    <x:col min="18" max="18" width="24" hidden="0" customWidth="1"/>
    <x:col min="19" max="19" width="24" hidden="0" customWidth="1"/>
  </x:cols>
  <x:sheetData>
    <x:row r="1" ht="30" customHeight="1">
      <x:c r="A1" s="3" t="str">
        <x:v>证据表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</x:row>
    <x:row r="4" ht="30" customHeight="1">
      <x:c r="A4" s="19" t="str">
        <x:v>evidence_id</x:v>
      </x:c>
      <x:c r="B4" s="20" t="str">
        <x:v>company_id</x:v>
      </x:c>
      <x:c r="C4" s="20" t="str">
        <x:v>event_id</x:v>
      </x:c>
      <x:c r="D4" s="20" t="str">
        <x:v>transaction_id</x:v>
      </x:c>
      <x:c r="E4" s="20" t="str">
        <x:v>entity_id</x:v>
      </x:c>
      <x:c r="F4" s="20" t="str">
        <x:v>source_file</x:v>
      </x:c>
      <x:c r="G4" s="20" t="str">
        <x:v>pdf_page_start</x:v>
      </x:c>
      <x:c r="H4" s="20" t="str">
        <x:v>pdf_page_end</x:v>
      </x:c>
      <x:c r="I4" s="20" t="str">
        <x:v>document_page_start</x:v>
      </x:c>
      <x:c r="J4" s="20" t="str">
        <x:v>document_page_end</x:v>
      </x:c>
      <x:c r="K4" s="20" t="str">
        <x:v>source_section</x:v>
      </x:c>
      <x:c r="L4" s="20" t="str">
        <x:v>source_line_range</x:v>
      </x:c>
      <x:c r="M4" s="20" t="str">
        <x:v>evidence_text</x:v>
      </x:c>
      <x:c r="N4" s="20" t="str">
        <x:v>evidence_summary</x:v>
      </x:c>
      <x:c r="O4" s="20" t="str">
        <x:v>evidence_type</x:v>
      </x:c>
      <x:c r="P4" s="20" t="str">
        <x:v>evidence_sha256</x:v>
      </x:c>
      <x:c r="Q4" s="20" t="str">
        <x:v>supported_fields</x:v>
      </x:c>
      <x:c r="R4" s="20" t="str">
        <x:v>supported_value_source_type</x:v>
      </x:c>
      <x:c r="S4" s="21" t="str">
        <x:v>review_status</x:v>
      </x:c>
    </x:row>
    <x:row r="5">
      <x:c r="A5" s="29" t="str">
        <x:v>EVD-301606-0001</x:v>
      </x:c>
      <x:c r="B5" s="29" t="str">
        <x:v>301606</x:v>
      </x:c>
      <x:c r="C5" s="29" t="str">
        <x:v>EVT-301606-0001</x:v>
      </x:c>
      <x:c r="D5" s="29"/>
      <x:c r="E5" s="29"/>
      <x:c r="F5" s="29" t="str">
        <x:v>301606_ugreen_ipo_prospectus_20240719.pdf</x:v>
      </x:c>
      <x:c r="G5" s="29" t="n">
        <x:v>49</x:v>
      </x:c>
      <x:c r="H5" s="29" t="n">
        <x:v>50</x:v>
      </x:c>
      <x:c r="I5" s="29" t="str">
        <x:v>48</x:v>
      </x:c>
      <x:c r="J5" s="29" t="str">
        <x:v>49</x:v>
      </x:c>
      <x:c r="K5" s="29" t="str">
        <x:v>有限公司设立情况</x:v>
      </x:c>
      <x:c r="L5" s="29" t="str">
        <x:v>PDF第49—50页/正文第48—49页</x:v>
      </x:c>
      <x:c r="M5" s="29" t="str">
        <x:v>2012年3月绿联有限由张清森、陈俊灵出资100万元设立。</x:v>
      </x:c>
      <x:c r="N5" s="29" t="str">
        <x:v>2012年3月绿联有限由张清森、陈俊灵出资100万元设立。</x:v>
      </x:c>
      <x:c r="O5" s="29" t="str">
        <x:v>TABLE</x:v>
      </x:c>
      <x:c r="P5" s="29" t="str">
        <x:v>9d1a9dacae4a2b9e97bb608a2cf33fe2243d2793153b7435a912a7b96febbbd9</x:v>
      </x:c>
      <x:c r="Q5" s="29" t="str"/>
      <x:c r="R5" s="47" t="str">
        <x:v>DISCLOSED</x:v>
      </x:c>
      <x:c r="S5" s="29" t="str">
        <x:v>FINAL_APPROVED</x:v>
      </x:c>
    </x:row>
    <x:row r="6">
      <x:c r="A6" s="30" t="str">
        <x:v>EVD-301606-0002</x:v>
      </x:c>
      <x:c r="B6" s="30" t="str">
        <x:v>301606</x:v>
      </x:c>
      <x:c r="C6" s="30" t="str">
        <x:v>EVT-301606-0002</x:v>
      </x:c>
      <x:c r="D6" s="30"/>
      <x:c r="E6" s="30"/>
      <x:c r="F6" s="30" t="str">
        <x:v>301606_ugreen_ipo_prospectus_20240719.pdf</x:v>
      </x:c>
      <x:c r="G6" s="30" t="n">
        <x:v>49</x:v>
      </x:c>
      <x:c r="H6" s="30" t="n">
        <x:v>49</x:v>
      </x:c>
      <x:c r="I6" s="30" t="str">
        <x:v>48</x:v>
      </x:c>
      <x:c r="J6" s="30" t="str">
        <x:v>48</x:v>
      </x:c>
      <x:c r="K6" s="30" t="str">
        <x:v>股本变化图—第一次增资</x:v>
      </x:c>
      <x:c r="L6" s="30" t="str">
        <x:v>PDF第49—49页/正文第48—48页</x:v>
      </x:c>
      <x:c r="M6" s="30" t="str">
        <x:v>2017年10月注册资本增至1,000万元，两名股东合计缴纳900万元。</x:v>
      </x:c>
      <x:c r="N6" s="30" t="str">
        <x:v>2017年10月注册资本增至1,000万元，两名股东合计缴纳900万元。</x:v>
      </x:c>
      <x:c r="O6" s="30" t="str">
        <x:v>FIGURE</x:v>
      </x:c>
      <x:c r="P6" s="30" t="str">
        <x:v>f6a09df41cd932d8bfc112e0686ff68a1b9da2e770b0a658e3c9f185d3044e38</x:v>
      </x:c>
      <x:c r="Q6" s="30" t="str"/>
      <x:c r="R6" s="48" t="str">
        <x:v>DISCLOSED</x:v>
      </x:c>
      <x:c r="S6" s="30" t="str">
        <x:v>FINAL_APPROVED</x:v>
      </x:c>
    </x:row>
    <x:row r="7">
      <x:c r="A7" s="30" t="str">
        <x:v>EVD-301606-0003</x:v>
      </x:c>
      <x:c r="B7" s="30" t="str">
        <x:v>301606</x:v>
      </x:c>
      <x:c r="C7" s="30" t="str">
        <x:v>EVT-301606-0003</x:v>
      </x:c>
      <x:c r="D7" s="30"/>
      <x:c r="E7" s="30"/>
      <x:c r="F7" s="30" t="str">
        <x:v>301606_ugreen_ipo_prospectus_20240719.pdf</x:v>
      </x:c>
      <x:c r="G7" s="30" t="n">
        <x:v>49</x:v>
      </x:c>
      <x:c r="H7" s="30" t="n">
        <x:v>49</x:v>
      </x:c>
      <x:c r="I7" s="30" t="str">
        <x:v>48</x:v>
      </x:c>
      <x:c r="J7" s="30" t="str">
        <x:v>48</x:v>
      </x:c>
      <x:c r="K7" s="30" t="str">
        <x:v>股本变化图—第二次增资</x:v>
      </x:c>
      <x:c r="L7" s="30" t="str">
        <x:v>PDF第49—49页/正文第48—48页</x:v>
      </x:c>
      <x:c r="M7" s="30" t="str">
        <x:v>2018年12月注册资本增至1,270.569999万元，认购价为1元/注册资本。</x:v>
      </x:c>
      <x:c r="N7" s="30" t="str">
        <x:v>2018年12月注册资本增至1,270.569999万元，认购价为1元/注册资本。</x:v>
      </x:c>
      <x:c r="O7" s="30" t="str">
        <x:v>FIGURE</x:v>
      </x:c>
      <x:c r="P7" s="30" t="str">
        <x:v>a8dd0a1c0c1e5b1b4de51417600710ff9abb0655f93e17d3f93fa73835e2698f</x:v>
      </x:c>
      <x:c r="Q7" s="30" t="str"/>
      <x:c r="R7" s="48" t="str">
        <x:v>DISCLOSED</x:v>
      </x:c>
      <x:c r="S7" s="30" t="str">
        <x:v>FINAL_APPROVED</x:v>
      </x:c>
    </x:row>
    <x:row r="8">
      <x:c r="A8" s="30" t="str">
        <x:v>EVD-301606-0004</x:v>
      </x:c>
      <x:c r="B8" s="30" t="str">
        <x:v>301606</x:v>
      </x:c>
      <x:c r="C8" s="30" t="str">
        <x:v>EVT-301606-0004</x:v>
      </x:c>
      <x:c r="D8" s="30" t="str">
        <x:v>TRX-301606-0004</x:v>
      </x:c>
      <x:c r="E8" s="30"/>
      <x:c r="F8" s="30" t="str">
        <x:v>301606_ugreen_ipo_prospectus_20240719.pdf</x:v>
      </x:c>
      <x:c r="G8" s="30" t="n">
        <x:v>51</x:v>
      </x:c>
      <x:c r="H8" s="30" t="n">
        <x:v>52</x:v>
      </x:c>
      <x:c r="I8" s="30" t="str">
        <x:v>50</x:v>
      </x:c>
      <x:c r="J8" s="30" t="str">
        <x:v>51</x:v>
      </x:c>
      <x:c r="K8" s="30" t="str">
        <x:v>报告期内股本变化—2020年增资</x:v>
      </x:c>
      <x:c r="L8" s="30" t="str">
        <x:v>PDF第51—52页/正文第50—51页</x:v>
      </x:c>
      <x:c r="M8" s="30" t="str">
        <x:v>绿联和顺认缴66.872105万元注册资本，公司收到1,000万元出资款。</x:v>
      </x:c>
      <x:c r="N8" s="30" t="str">
        <x:v>绿联和顺认缴66.872105万元注册资本，公司收到1,000万元出资款。</x:v>
      </x:c>
      <x:c r="O8" s="30" t="str">
        <x:v>TEXT</x:v>
      </x:c>
      <x:c r="P8" s="30" t="str">
        <x:v>ffbd35ab9eca3f1b27aea5398b02284e45d0b9fc97d11f3560f553efcf348c7f</x:v>
      </x:c>
      <x:c r="Q8" s="30" t="str"/>
      <x:c r="R8" s="48" t="str">
        <x:v>DISCLOSED</x:v>
      </x:c>
      <x:c r="S8" s="30" t="str">
        <x:v>FINAL_APPROVED</x:v>
      </x:c>
    </x:row>
    <x:row r="9">
      <x:c r="A9" s="30" t="str">
        <x:v>EVD-301606-0005</x:v>
      </x:c>
      <x:c r="B9" s="30" t="str">
        <x:v>301606</x:v>
      </x:c>
      <x:c r="C9" s="30" t="str">
        <x:v>EVT-301606-0005</x:v>
      </x:c>
      <x:c r="D9" s="30"/>
      <x:c r="E9" s="30"/>
      <x:c r="F9" s="30" t="str">
        <x:v>301606_ugreen_ipo_prospectus_20240719.pdf</x:v>
      </x:c>
      <x:c r="G9" s="30" t="n">
        <x:v>52</x:v>
      </x:c>
      <x:c r="H9" s="30" t="n">
        <x:v>52</x:v>
      </x:c>
      <x:c r="I9" s="30" t="str">
        <x:v>51</x:v>
      </x:c>
      <x:c r="J9" s="30" t="str">
        <x:v>51</x:v>
      </x:c>
      <x:c r="K9" s="30" t="str">
        <x:v>2021年5月股权转让</x:v>
      </x:c>
      <x:c r="L9" s="30" t="str">
        <x:v>PDF第52—52页/正文第51—51页</x:v>
      </x:c>
      <x:c r="M9" s="30" t="str">
        <x:v>高瓴锡恒分别以20,000万元和10,000万元受让两名原股东股权。</x:v>
      </x:c>
      <x:c r="N9" s="30" t="str">
        <x:v>高瓴锡恒分别以20,000万元和10,000万元受让两名原股东股权。</x:v>
      </x:c>
      <x:c r="O9" s="30" t="str">
        <x:v>TABLE</x:v>
      </x:c>
      <x:c r="P9" s="30" t="str">
        <x:v>a372ea7783572cc80d79cad8e966eea4c321ea400939a2a835933677c6067615</x:v>
      </x:c>
      <x:c r="Q9" s="30" t="str"/>
      <x:c r="R9" s="48" t="str">
        <x:v>DISCLOSED</x:v>
      </x:c>
      <x:c r="S9" s="30" t="str">
        <x:v>FINAL_APPROVED</x:v>
      </x:c>
    </x:row>
    <x:row r="10">
      <x:c r="A10" s="30" t="str">
        <x:v>EVD-301606-0006</x:v>
      </x:c>
      <x:c r="B10" s="30" t="str">
        <x:v>301606</x:v>
      </x:c>
      <x:c r="C10" s="30" t="str">
        <x:v>EVT-301606-0006</x:v>
      </x:c>
      <x:c r="D10" s="30"/>
      <x:c r="E10" s="30"/>
      <x:c r="F10" s="30" t="str">
        <x:v>301606_ugreen_ipo_prospectus_20240719.pdf</x:v>
      </x:c>
      <x:c r="G10" s="30" t="n">
        <x:v>50</x:v>
      </x:c>
      <x:c r="H10" s="30" t="n">
        <x:v>51</x:v>
      </x:c>
      <x:c r="I10" s="30" t="str">
        <x:v>49</x:v>
      </x:c>
      <x:c r="J10" s="30" t="str">
        <x:v>50</x:v>
      </x:c>
      <x:c r="K10" s="30" t="str">
        <x:v>股份公司设立情况</x:v>
      </x:c>
      <x:c r="L10" s="30" t="str">
        <x:v>PDF第50—51页/正文第49—50页</x:v>
      </x:c>
      <x:c r="M10" s="30" t="str">
        <x:v>绿联有限以净资产折股整体变更，股份公司股本为25,000万股。</x:v>
      </x:c>
      <x:c r="N10" s="30" t="str">
        <x:v>绿联有限以净资产折股整体变更，股份公司股本为25,000万股。</x:v>
      </x:c>
      <x:c r="O10" s="30" t="str">
        <x:v>TEXT</x:v>
      </x:c>
      <x:c r="P10" s="30" t="str">
        <x:v>32f9bb0b3519f948da5a30ea467ceda573fb54e540d8f5548e0574597e51efd7</x:v>
      </x:c>
      <x:c r="Q10" s="30" t="str"/>
      <x:c r="R10" s="48" t="str">
        <x:v>DISCLOSED</x:v>
      </x:c>
      <x:c r="S10" s="30" t="str">
        <x:v>FINAL_APPROVED</x:v>
      </x:c>
    </x:row>
    <x:row r="11">
      <x:c r="A11" s="30" t="str">
        <x:v>EVD-301606-0007</x:v>
      </x:c>
      <x:c r="B11" s="30" t="str">
        <x:v>301606</x:v>
      </x:c>
      <x:c r="C11" s="30" t="str">
        <x:v>EVT-301606-0007</x:v>
      </x:c>
      <x:c r="D11" s="30" t="str">
        <x:v>TRX-301606-0008</x:v>
      </x:c>
      <x:c r="E11" s="30"/>
      <x:c r="F11" s="30" t="str">
        <x:v>301606_ugreen_ipo_prospectus_20240719.pdf</x:v>
      </x:c>
      <x:c r="G11" s="30" t="n">
        <x:v>53</x:v>
      </x:c>
      <x:c r="H11" s="30" t="n">
        <x:v>53</x:v>
      </x:c>
      <x:c r="I11" s="30" t="str">
        <x:v>52</x:v>
      </x:c>
      <x:c r="J11" s="30" t="str">
        <x:v>52</x:v>
      </x:c>
      <x:c r="K11" s="30" t="str">
        <x:v>2021年6月第一次定向发行</x:v>
      </x:c>
      <x:c r="L11" s="30" t="str">
        <x:v>PDF第53—53页/正文第52—52页</x:v>
      </x:c>
      <x:c r="M11" s="30" t="str">
        <x:v>三家员工持股平台认购338.5226万股，公司收到668万元。</x:v>
      </x:c>
      <x:c r="N11" s="30" t="str">
        <x:v>三家员工持股平台认购338.5226万股，公司收到668万元。</x:v>
      </x:c>
      <x:c r="O11" s="30" t="str">
        <x:v>TABLE</x:v>
      </x:c>
      <x:c r="P11" s="30" t="str">
        <x:v>0b18228c9194c2900a0b0949538bdc3741efae3a04dee59dcb6f1f2738ac7093</x:v>
      </x:c>
      <x:c r="Q11" s="30" t="str"/>
      <x:c r="R11" s="48" t="str">
        <x:v>DISCLOSED</x:v>
      </x:c>
      <x:c r="S11" s="30" t="str">
        <x:v>FINAL_APPROVED</x:v>
      </x:c>
    </x:row>
    <x:row r="12">
      <x:c r="A12" s="30" t="str">
        <x:v>EVD-301606-0008</x:v>
      </x:c>
      <x:c r="B12" s="30" t="str">
        <x:v>301606</x:v>
      </x:c>
      <x:c r="C12" s="30" t="str">
        <x:v>EVT-301606-0008</x:v>
      </x:c>
      <x:c r="D12" s="30" t="str">
        <x:v>TRX-301606-0009</x:v>
      </x:c>
      <x:c r="E12" s="30"/>
      <x:c r="F12" s="30" t="str">
        <x:v>301606_ugreen_ipo_prospectus_20240719.pdf</x:v>
      </x:c>
      <x:c r="G12" s="30" t="n">
        <x:v>54</x:v>
      </x:c>
      <x:c r="H12" s="30" t="n">
        <x:v>54</x:v>
      </x:c>
      <x:c r="I12" s="30" t="str">
        <x:v>53</x:v>
      </x:c>
      <x:c r="J12" s="30" t="str">
        <x:v>53</x:v>
      </x:c>
      <x:c r="K12" s="30" t="str">
        <x:v>2021年6月第二次定向发行</x:v>
      </x:c>
      <x:c r="L12" s="30" t="str">
        <x:v>PDF第54—54页/正文第53—53页</x:v>
      </x:c>
      <x:c r="M12" s="30" t="str">
        <x:v>四家机构认购1,333.6064万股，公司收到30,000万元。</x:v>
      </x:c>
      <x:c r="N12" s="30" t="str">
        <x:v>四家机构认购1,333.6064万股，公司收到30,000万元。</x:v>
      </x:c>
      <x:c r="O12" s="30" t="str">
        <x:v>TABLE</x:v>
      </x:c>
      <x:c r="P12" s="30" t="str">
        <x:v>cbca632a94b4ff678489b79623ef921d311e644b730246f2c44e5db10e1c53d0</x:v>
      </x:c>
      <x:c r="Q12" s="30" t="str"/>
      <x:c r="R12" s="48" t="str">
        <x:v>DISCLOSED</x:v>
      </x:c>
      <x:c r="S12" s="30" t="str">
        <x:v>FINAL_APPROVED</x:v>
      </x:c>
    </x:row>
    <x:row r="13">
      <x:c r="A13" s="30" t="str">
        <x:v>EVD-301606-0009</x:v>
      </x:c>
      <x:c r="B13" s="30" t="str">
        <x:v>301606</x:v>
      </x:c>
      <x:c r="C13" s="30" t="str">
        <x:v>EVT-301606-0009</x:v>
      </x:c>
      <x:c r="D13" s="30"/>
      <x:c r="E13" s="30"/>
      <x:c r="F13" s="30" t="str">
        <x:v>301606_ugreen_ipo_prospectus_20240719.pdf</x:v>
      </x:c>
      <x:c r="G13" s="30" t="n">
        <x:v>54</x:v>
      </x:c>
      <x:c r="H13" s="30" t="n">
        <x:v>55</x:v>
      </x:c>
      <x:c r="I13" s="30" t="str">
        <x:v>53</x:v>
      </x:c>
      <x:c r="J13" s="30" t="str">
        <x:v>54</x:v>
      </x:c>
      <x:c r="K13" s="30" t="str">
        <x:v>2021年7月资本公积转增</x:v>
      </x:c>
      <x:c r="L13" s="30" t="str">
        <x:v>PDF第54—55页/正文第53—54页</x:v>
      </x:c>
      <x:c r="M13" s="30" t="str">
        <x:v>资本公积每10股转增4股，总股本增至37,340.9806万股。</x:v>
      </x:c>
      <x:c r="N13" s="30" t="str">
        <x:v>资本公积每10股转增4股，总股本增至37,340.9806万股。</x:v>
      </x:c>
      <x:c r="O13" s="30" t="str">
        <x:v>TEXT</x:v>
      </x:c>
      <x:c r="P13" s="30" t="str">
        <x:v>5775d45581baf373e1b8d2e3aa625878107135c46ab79db1dee55c395bc8fe44</x:v>
      </x:c>
      <x:c r="Q13" s="30" t="str"/>
      <x:c r="R13" s="48" t="str">
        <x:v>DISCLOSED</x:v>
      </x:c>
      <x:c r="S13" s="30" t="str">
        <x:v>FINAL_APPROVED</x:v>
      </x:c>
    </x:row>
    <x:row r="14">
      <x:c r="A14" s="30" t="str">
        <x:v>EVD-301606-0010</x:v>
      </x:c>
      <x:c r="B14" s="30" t="str">
        <x:v>301606</x:v>
      </x:c>
      <x:c r="C14" s="30" t="str">
        <x:v>EVT-301606-0008</x:v>
      </x:c>
      <x:c r="D14" s="30"/>
      <x:c r="E14" s="30" t="str">
        <x:v>STD-301606-GAOLING</x:v>
      </x:c>
      <x:c r="F14" s="30" t="str">
        <x:v>301606_ugreen_ipo_prospectus_20240719.pdf</x:v>
      </x:c>
      <x:c r="G14" s="30" t="n">
        <x:v>77</x:v>
      </x:c>
      <x:c r="H14" s="30" t="n">
        <x:v>77</x:v>
      </x:c>
      <x:c r="I14" s="30" t="str">
        <x:v>76</x:v>
      </x:c>
      <x:c r="J14" s="30" t="str">
        <x:v>76</x:v>
      </x:c>
      <x:c r="K14" s="30" t="str">
        <x:v>高瓴锡恒基本情况</x:v>
      </x:c>
      <x:c r="L14" s="30" t="str">
        <x:v>PDF第77—77页/正文第76—76页</x:v>
      </x:c>
      <x:c r="M14" s="30" t="str">
        <x:v>高瓴锡恒为股权投资合伙企业，招股书将其称为知名投资机构。</x:v>
      </x:c>
      <x:c r="N14" s="30" t="str">
        <x:v>高瓴锡恒为股权投资合伙企业，招股书将其称为知名投资机构。</x:v>
      </x:c>
      <x:c r="O14" s="30" t="str">
        <x:v>TEXT</x:v>
      </x:c>
      <x:c r="P14" s="30" t="str">
        <x:v>8e9890a04cd9302f39153c65eb772c2bd27b0407b81392956e7c35eaf3acd1e6</x:v>
      </x:c>
      <x:c r="Q14" s="30" t="str"/>
      <x:c r="R14" s="48" t="str">
        <x:v>DISCLOSED</x:v>
      </x:c>
      <x:c r="S14" s="30" t="str">
        <x:v>FINAL_APPROVED</x:v>
      </x:c>
    </x:row>
    <x:row r="15">
      <x:c r="A15" s="30" t="str">
        <x:v>EVD-301606-0011</x:v>
      </x:c>
      <x:c r="B15" s="30" t="str">
        <x:v>301606</x:v>
      </x:c>
      <x:c r="C15" s="30" t="str">
        <x:v>EVT-301606-0008</x:v>
      </x:c>
      <x:c r="D15" s="30"/>
      <x:c r="E15" s="30" t="str">
        <x:v>STD-301606-JIANGUO</x:v>
      </x:c>
      <x:c r="F15" s="30" t="str">
        <x:v>301606_ugreen_ipo_prospectus_20240719.pdf</x:v>
      </x:c>
      <x:c r="G15" s="30" t="n">
        <x:v>83</x:v>
      </x:c>
      <x:c r="H15" s="30" t="n">
        <x:v>85</x:v>
      </x:c>
      <x:c r="I15" s="30" t="str">
        <x:v>82</x:v>
      </x:c>
      <x:c r="J15" s="30" t="str">
        <x:v>84</x:v>
      </x:c>
      <x:c r="K15" s="30" t="str">
        <x:v>坚果核力基本情况与基金备案</x:v>
      </x:c>
      <x:c r="L15" s="30" t="str">
        <x:v>PDF第83—85页/正文第82—84页</x:v>
      </x:c>
      <x:c r="M15" s="30" t="str">
        <x:v>坚果核力备案类型为股权投资基金，备案编码SGD474。</x:v>
      </x:c>
      <x:c r="N15" s="30" t="str">
        <x:v>坚果核力备案类型为股权投资基金，备案编码SGD474。</x:v>
      </x:c>
      <x:c r="O15" s="30" t="str">
        <x:v>TEXT</x:v>
      </x:c>
      <x:c r="P15" s="30" t="str">
        <x:v>3ff8a6334145c807f304ce5506a5ac52b0cd92a86760edb41856b11ed577ec27</x:v>
      </x:c>
      <x:c r="Q15" s="30" t="str"/>
      <x:c r="R15" s="48" t="str">
        <x:v>DISCLOSED</x:v>
      </x:c>
      <x:c r="S15" s="30" t="str">
        <x:v>FINAL_APPROVED</x:v>
      </x:c>
    </x:row>
    <x:row r="16">
      <x:c r="A16" s="31" t="str">
        <x:v>EVD-301606-0012</x:v>
      </x:c>
      <x:c r="B16" s="31" t="str">
        <x:v>301606</x:v>
      </x:c>
      <x:c r="C16" s="31" t="str">
        <x:v>EVT-301606-0008</x:v>
      </x:c>
      <x:c r="D16" s="31"/>
      <x:c r="E16" s="31" t="str">
        <x:v>STD-301606-SHENZHENSHIHENG</x:v>
      </x:c>
      <x:c r="F16" s="31" t="str">
        <x:v>301606_ugreen_ipo_prospectus_20240719.pdf</x:v>
      </x:c>
      <x:c r="G16" s="31" t="n">
        <x:v>81</x:v>
      </x:c>
      <x:c r="H16" s="31" t="n">
        <x:v>82</x:v>
      </x:c>
      <x:c r="I16" s="31" t="str">
        <x:v>80</x:v>
      </x:c>
      <x:c r="J16" s="31" t="str">
        <x:v>81</x:v>
      </x:c>
      <x:c r="K16" s="31" t="str">
        <x:v>深圳世横与远大方略基本情况</x:v>
      </x:c>
      <x:c r="L16" s="31" t="str">
        <x:v>PDF第81—82页/正文第80—81页</x:v>
      </x:c>
      <x:c r="M16" s="31" t="str">
        <x:v>深圳世横经营范围含创业投资；远大方略主营管理咨询。</x:v>
      </x:c>
      <x:c r="N16" s="31" t="str">
        <x:v>深圳世横经营范围含创业投资；远大方略主营管理咨询。</x:v>
      </x:c>
      <x:c r="O16" s="31" t="str">
        <x:v>TEXT</x:v>
      </x:c>
      <x:c r="P16" s="31" t="str">
        <x:v>cae0558faf7e88db2a3ee0601234bd4e1cd5b6d27af262967c2be06deb5660e9</x:v>
      </x:c>
      <x:c r="Q16" s="31" t="str"/>
      <x:c r="R16" s="49" t="str">
        <x:v>DISCLOSED</x:v>
      </x:c>
      <x:c r="S16" s="31" t="str">
        <x:v>FINAL_APPROVED</x:v>
      </x:c>
    </x:row>
  </x:sheetData>
  <x:mergeCells>
    <x:mergeCell ref="A1:S1"/>
    <x:mergeCell ref="A2:S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4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  <x:col min="11" max="11" width="24" hidden="0" customWidth="1"/>
    <x:col min="12" max="12" width="18" hidden="0" customWidth="1"/>
    <x:col min="13" max="13" width="24" hidden="0" customWidth="1"/>
    <x:col min="14" max="14" width="18" hidden="0" customWidth="1"/>
    <x:col min="15" max="15" width="24" hidden="0" customWidth="1"/>
    <x:col min="16" max="16" width="18" hidden="0" customWidth="1"/>
    <x:col min="17" max="17" width="24" hidden="0" customWidth="1"/>
    <x:col min="18" max="18" width="48" hidden="0" customWidth="1"/>
    <x:col min="19" max="19" width="18" hidden="0" customWidth="1"/>
    <x:col min="20" max="20" width="18" hidden="0" customWidth="1"/>
    <x:col min="21" max="21" width="18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 ht="30" customHeight="1">
      <x:c r="A1" s="3" t="str">
        <x:v>数值校验表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  <x:c r="Y3" s="78"/>
      <x:c r="Z3" s="78"/>
    </x:row>
    <x:row r="4" ht="30" customHeight="1">
      <x:c r="A4" s="19" t="str">
        <x:v>validation_id</x:v>
      </x:c>
      <x:c r="B4" s="20" t="str">
        <x:v>company_id</x:v>
      </x:c>
      <x:c r="C4" s="20" t="str">
        <x:v>event_id</x:v>
      </x:c>
      <x:c r="D4" s="20" t="str">
        <x:v>transaction_id</x:v>
      </x:c>
      <x:c r="E4" s="20" t="str">
        <x:v>validation_object</x:v>
      </x:c>
      <x:c r="F4" s="20" t="str">
        <x:v>validation_rule</x:v>
      </x:c>
      <x:c r="G4" s="20" t="str">
        <x:v>standard_unit</x:v>
      </x:c>
      <x:c r="H4" s="20" t="str">
        <x:v>disclosed_value</x:v>
      </x:c>
      <x:c r="I4" s="20" t="str">
        <x:v>disclosed_value_status</x:v>
      </x:c>
      <x:c r="J4" s="20" t="str">
        <x:v>standardized_value</x:v>
      </x:c>
      <x:c r="K4" s="20" t="str">
        <x:v>standardized_value_status</x:v>
      </x:c>
      <x:c r="L4" s="20" t="str">
        <x:v>calculated_value</x:v>
      </x:c>
      <x:c r="M4" s="20" t="str">
        <x:v>calculated_value_status</x:v>
      </x:c>
      <x:c r="N4" s="20" t="str">
        <x:v>difference_value</x:v>
      </x:c>
      <x:c r="O4" s="20" t="str">
        <x:v>difference_value_status</x:v>
      </x:c>
      <x:c r="P4" s="20" t="str">
        <x:v>relative_difference</x:v>
      </x:c>
      <x:c r="Q4" s="20" t="str">
        <x:v>relative_difference_status</x:v>
      </x:c>
      <x:c r="R4" s="20" t="str">
        <x:v>formula</x:v>
      </x:c>
      <x:c r="S4" s="20" t="str">
        <x:v>input_values</x:v>
      </x:c>
      <x:c r="T4" s="20" t="str">
        <x:v>absolute_tolerance</x:v>
      </x:c>
      <x:c r="U4" s="20" t="str">
        <x:v>relative_tolerance</x:v>
      </x:c>
      <x:c r="V4" s="20" t="str">
        <x:v>value_source_type</x:v>
      </x:c>
      <x:c r="W4" s="20" t="str">
        <x:v>record_origin</x:v>
      </x:c>
      <x:c r="X4" s="20" t="str">
        <x:v>evidence_id</x:v>
      </x:c>
      <x:c r="Y4" s="20" t="str">
        <x:v>validation_result</x:v>
      </x:c>
      <x:c r="Z4" s="21" t="str">
        <x:v>review_status</x:v>
      </x:c>
    </x:row>
    <x:row r="5">
      <x:c r="A5" s="29" t="str">
        <x:v>VAL-301606-0001</x:v>
      </x:c>
      <x:c r="B5" s="29" t="str">
        <x:v>301606</x:v>
      </x:c>
      <x:c r="C5" s="29" t="str">
        <x:v>EVT-301606-0002</x:v>
      </x:c>
      <x:c r="D5" s="29" t="str">
        <x:v>TRX-301606-0002</x:v>
      </x:c>
      <x:c r="E5" s="29" t="str">
        <x:v>REGISTERED_CAPITAL</x:v>
      </x:c>
      <x:c r="F5" s="29" t="str">
        <x:v>增资前注册资本+新增注册资本=增资后注册资本</x:v>
      </x:c>
      <x:c r="G5" s="29" t="str">
        <x:v>万元人民币</x:v>
      </x:c>
      <x:c r="H5" s="47" t="n">
        <x:v>1000</x:v>
      </x:c>
      <x:c r="I5" s="47" t="str">
        <x:v>DISCLOSED_COMPLETE</x:v>
      </x:c>
      <x:c r="J5" s="47" t="n">
        <x:v>1000</x:v>
      </x:c>
      <x:c r="K5" s="47" t="str">
        <x:v>AVAILABLE</x:v>
      </x:c>
      <x:c r="L5" s="47" t="n">
        <x:v>1000</x:v>
      </x:c>
      <x:c r="M5" s="47" t="str">
        <x:v>AVAILABLE</x:v>
      </x:c>
      <x:c r="N5" s="47" t="n">
        <x:v>0</x:v>
      </x:c>
      <x:c r="O5" s="47" t="str">
        <x:v>AVAILABLE</x:v>
      </x:c>
      <x:c r="P5" s="75" t="n">
        <x:v>0</x:v>
      </x:c>
      <x:c r="Q5" s="75" t="str">
        <x:v>AVAILABLE</x:v>
      </x:c>
      <x:c r="R5" s="29" t="str">
        <x:v>100+900</x:v>
      </x:c>
      <x:c r="S5" s="47" t="str">
        <x:v>{"before": 100, "increase": 900}</x:v>
      </x:c>
      <x:c r="T5" s="29" t="n">
        <x:v>0.000001</x:v>
      </x:c>
      <x:c r="U5" s="29" t="n">
        <x:v>0.000001</x:v>
      </x:c>
      <x:c r="V5" s="47" t="str">
        <x:v>CALCULATED</x:v>
      </x:c>
      <x:c r="W5" s="29" t="str">
        <x:v>GENERATED_VALIDATION</x:v>
      </x:c>
      <x:c r="X5" s="29" t="str">
        <x:v>EVD-301606-0002</x:v>
      </x:c>
      <x:c r="Y5" s="29" t="str">
        <x:v>PASS</x:v>
      </x:c>
      <x:c r="Z5" s="29" t="str">
        <x:v>FINAL_APPROVED</x:v>
      </x:c>
    </x:row>
    <x:row r="6">
      <x:c r="A6" s="30" t="str">
        <x:v>VAL-301606-0002</x:v>
      </x:c>
      <x:c r="B6" s="30" t="str">
        <x:v>301606</x:v>
      </x:c>
      <x:c r="C6" s="30" t="str">
        <x:v>EVT-301606-0003</x:v>
      </x:c>
      <x:c r="D6" s="30" t="str">
        <x:v>TRX-301606-0003</x:v>
      </x:c>
      <x:c r="E6" s="30" t="str">
        <x:v>REGISTERED_CAPITAL</x:v>
      </x:c>
      <x:c r="F6" s="30" t="str">
        <x:v>增资前注册资本+新增注册资本=增资后注册资本</x:v>
      </x:c>
      <x:c r="G6" s="30" t="str">
        <x:v>万元人民币</x:v>
      </x:c>
      <x:c r="H6" s="48" t="n">
        <x:v>1270.569999</x:v>
      </x:c>
      <x:c r="I6" s="48" t="str">
        <x:v>DISCLOSED_COMPLETE</x:v>
      </x:c>
      <x:c r="J6" s="48" t="n">
        <x:v>1270.569999</x:v>
      </x:c>
      <x:c r="K6" s="48" t="str">
        <x:v>AVAILABLE</x:v>
      </x:c>
      <x:c r="L6" s="48" t="n">
        <x:v>1270.569999</x:v>
      </x:c>
      <x:c r="M6" s="48" t="str">
        <x:v>AVAILABLE</x:v>
      </x:c>
      <x:c r="N6" s="48" t="n">
        <x:v>0</x:v>
      </x:c>
      <x:c r="O6" s="48" t="str">
        <x:v>AVAILABLE</x:v>
      </x:c>
      <x:c r="P6" s="76" t="n">
        <x:v>0</x:v>
      </x:c>
      <x:c r="Q6" s="76" t="str">
        <x:v>AVAILABLE</x:v>
      </x:c>
      <x:c r="R6" s="30" t="str">
        <x:v>1000+270.569999</x:v>
      </x:c>
      <x:c r="S6" s="48" t="str">
        <x:v>{"before": 1000, "increase": 270.569999}</x:v>
      </x:c>
      <x:c r="T6" s="30" t="n">
        <x:v>0.000001</x:v>
      </x:c>
      <x:c r="U6" s="30" t="n">
        <x:v>0.000001</x:v>
      </x:c>
      <x:c r="V6" s="48" t="str">
        <x:v>CALCULATED</x:v>
      </x:c>
      <x:c r="W6" s="30" t="str">
        <x:v>GENERATED_VALIDATION</x:v>
      </x:c>
      <x:c r="X6" s="30" t="str">
        <x:v>EVD-301606-0003</x:v>
      </x:c>
      <x:c r="Y6" s="30" t="str">
        <x:v>PASS</x:v>
      </x:c>
      <x:c r="Z6" s="30" t="str">
        <x:v>FINAL_APPROVED</x:v>
      </x:c>
    </x:row>
    <x:row r="7">
      <x:c r="A7" s="30" t="str">
        <x:v>VAL-301606-0003</x:v>
      </x:c>
      <x:c r="B7" s="30" t="str">
        <x:v>301606</x:v>
      </x:c>
      <x:c r="C7" s="30" t="str">
        <x:v>EVT-301606-0004</x:v>
      </x:c>
      <x:c r="D7" s="30" t="str">
        <x:v>TRX-301606-0004</x:v>
      </x:c>
      <x:c r="E7" s="30" t="str">
        <x:v>REGISTERED_CAPITAL</x:v>
      </x:c>
      <x:c r="F7" s="30" t="str">
        <x:v>增资前注册资本+新增注册资本=增资后注册资本</x:v>
      </x:c>
      <x:c r="G7" s="30" t="str">
        <x:v>万元人民币</x:v>
      </x:c>
      <x:c r="H7" s="48" t="n">
        <x:v>1337.442104</x:v>
      </x:c>
      <x:c r="I7" s="48" t="str">
        <x:v>DISCLOSED_COMPLETE</x:v>
      </x:c>
      <x:c r="J7" s="48" t="n">
        <x:v>1337.442104</x:v>
      </x:c>
      <x:c r="K7" s="48" t="str">
        <x:v>AVAILABLE</x:v>
      </x:c>
      <x:c r="L7" s="48" t="n">
        <x:v>1337.442104</x:v>
      </x:c>
      <x:c r="M7" s="48" t="str">
        <x:v>AVAILABLE</x:v>
      </x:c>
      <x:c r="N7" s="48" t="n">
        <x:v>0</x:v>
      </x:c>
      <x:c r="O7" s="48" t="str">
        <x:v>AVAILABLE</x:v>
      </x:c>
      <x:c r="P7" s="76" t="n">
        <x:v>0</x:v>
      </x:c>
      <x:c r="Q7" s="76" t="str">
        <x:v>AVAILABLE</x:v>
      </x:c>
      <x:c r="R7" s="30" t="str">
        <x:v>1270.569999+66.872105</x:v>
      </x:c>
      <x:c r="S7" s="48" t="str">
        <x:v>{"before": 1270.569999, "increase": 66.872105}</x:v>
      </x:c>
      <x:c r="T7" s="30" t="n">
        <x:v>0.000001</x:v>
      </x:c>
      <x:c r="U7" s="30" t="n">
        <x:v>0.000001</x:v>
      </x:c>
      <x:c r="V7" s="48" t="str">
        <x:v>CALCULATED</x:v>
      </x:c>
      <x:c r="W7" s="30" t="str">
        <x:v>GENERATED_VALIDATION</x:v>
      </x:c>
      <x:c r="X7" s="30" t="str">
        <x:v>EVD-301606-0004</x:v>
      </x:c>
      <x:c r="Y7" s="30" t="str">
        <x:v>PASS</x:v>
      </x:c>
      <x:c r="Z7" s="30" t="str">
        <x:v>FINAL_APPROVED</x:v>
      </x:c>
    </x:row>
    <x:row r="8">
      <x:c r="A8" s="30" t="str">
        <x:v>VAL-301606-0004</x:v>
      </x:c>
      <x:c r="B8" s="30" t="str">
        <x:v>301606</x:v>
      </x:c>
      <x:c r="C8" s="30" t="str">
        <x:v>EVT-301606-0005</x:v>
      </x:c>
      <x:c r="D8" s="30"/>
      <x:c r="E8" s="30" t="str">
        <x:v>TRANSFER_AMOUNT</x:v>
      </x:c>
      <x:c r="F8" s="30" t="str">
        <x:v>两笔老股转让对价合计</x:v>
      </x:c>
      <x:c r="G8" s="30" t="str">
        <x:v>万元人民币</x:v>
      </x:c>
      <x:c r="H8" s="48" t="n">
        <x:v>30000</x:v>
      </x:c>
      <x:c r="I8" s="48" t="str">
        <x:v>DISCLOSED_COMPLETE</x:v>
      </x:c>
      <x:c r="J8" s="48" t="n">
        <x:v>30000</x:v>
      </x:c>
      <x:c r="K8" s="48" t="str">
        <x:v>AVAILABLE</x:v>
      </x:c>
      <x:c r="L8" s="48" t="n">
        <x:v>30000</x:v>
      </x:c>
      <x:c r="M8" s="48" t="str">
        <x:v>AVAILABLE</x:v>
      </x:c>
      <x:c r="N8" s="48" t="n">
        <x:v>0</x:v>
      </x:c>
      <x:c r="O8" s="48" t="str">
        <x:v>AVAILABLE</x:v>
      </x:c>
      <x:c r="P8" s="76" t="n">
        <x:v>0</x:v>
      </x:c>
      <x:c r="Q8" s="76" t="str">
        <x:v>AVAILABLE</x:v>
      </x:c>
      <x:c r="R8" s="30" t="str">
        <x:v>20000+10000</x:v>
      </x:c>
      <x:c r="S8" s="48" t="str">
        <x:v>{"transfer_1": 20000, "transfer_2": 10000}</x:v>
      </x:c>
      <x:c r="T8" s="30" t="n">
        <x:v>0.000001</x:v>
      </x:c>
      <x:c r="U8" s="30" t="n">
        <x:v>0.000001</x:v>
      </x:c>
      <x:c r="V8" s="48" t="str">
        <x:v>CALCULATED</x:v>
      </x:c>
      <x:c r="W8" s="30" t="str">
        <x:v>GENERATED_VALIDATION</x:v>
      </x:c>
      <x:c r="X8" s="30" t="str">
        <x:v>EVD-301606-0005</x:v>
      </x:c>
      <x:c r="Y8" s="30" t="str">
        <x:v>PASS</x:v>
      </x:c>
      <x:c r="Z8" s="30" t="str">
        <x:v>FINAL_APPROVED</x:v>
      </x:c>
    </x:row>
    <x:row r="9">
      <x:c r="A9" s="30" t="str">
        <x:v>VAL-301606-0005</x:v>
      </x:c>
      <x:c r="B9" s="30" t="str">
        <x:v>301606</x:v>
      </x:c>
      <x:c r="C9" s="30" t="str">
        <x:v>EVT-301606-0005</x:v>
      </x:c>
      <x:c r="D9" s="30"/>
      <x:c r="E9" s="30" t="str">
        <x:v>OWNERSHIP</x:v>
      </x:c>
      <x:c r="F9" s="30" t="str">
        <x:v>两笔受让比例合计等于高瓴锡恒交易后比例</x:v>
      </x:c>
      <x:c r="G9" s="30" t="str">
        <x:v>比例</x:v>
      </x:c>
      <x:c r="H9" s="48" t="n">
        <x:v>0.055556</x:v>
      </x:c>
      <x:c r="I9" s="48" t="str">
        <x:v>DISCLOSED_COMPLETE</x:v>
      </x:c>
      <x:c r="J9" s="48" t="n">
        <x:v>0.055556</x:v>
      </x:c>
      <x:c r="K9" s="48" t="str">
        <x:v>AVAILABLE</x:v>
      </x:c>
      <x:c r="L9" s="48" t="n">
        <x:v>0.055555999999999994</x:v>
      </x:c>
      <x:c r="M9" s="48" t="str">
        <x:v>AVAILABLE</x:v>
      </x:c>
      <x:c r="N9" s="48" t="n">
        <x:v>6.938893903907228e-18</x:v>
      </x:c>
      <x:c r="O9" s="48" t="str">
        <x:v>AVAILABLE</x:v>
      </x:c>
      <x:c r="P9" s="76" t="n">
        <x:v>1.2489909107760148e-16</x:v>
      </x:c>
      <x:c r="Q9" s="76" t="str">
        <x:v>AVAILABLE</x:v>
      </x:c>
      <x:c r="R9" s="30" t="str">
        <x:v>3.7028%+1.8528%</x:v>
      </x:c>
      <x:c r="S9" s="48" t="str">
        <x:v>{"part_1": 0.037028, "part_2": 0.018528}</x:v>
      </x:c>
      <x:c r="T9" s="30" t="n">
        <x:v>0.000001</x:v>
      </x:c>
      <x:c r="U9" s="30" t="n">
        <x:v>0.000001</x:v>
      </x:c>
      <x:c r="V9" s="48" t="str">
        <x:v>CALCULATED</x:v>
      </x:c>
      <x:c r="W9" s="30" t="str">
        <x:v>GENERATED_VALIDATION</x:v>
      </x:c>
      <x:c r="X9" s="30" t="str">
        <x:v>EVD-301606-0005</x:v>
      </x:c>
      <x:c r="Y9" s="30" t="str">
        <x:v>PASS</x:v>
      </x:c>
      <x:c r="Z9" s="30" t="str">
        <x:v>FINAL_APPROVED</x:v>
      </x:c>
    </x:row>
    <x:row r="10">
      <x:c r="A10" s="30" t="str">
        <x:v>VAL-301606-0006</x:v>
      </x:c>
      <x:c r="B10" s="30" t="str">
        <x:v>301606</x:v>
      </x:c>
      <x:c r="C10" s="30" t="str">
        <x:v>EVT-301606-0007</x:v>
      </x:c>
      <x:c r="D10" s="30" t="str">
        <x:v>TRX-301606-0008</x:v>
      </x:c>
      <x:c r="E10" s="30" t="str">
        <x:v>FINANCING_AMOUNT</x:v>
      </x:c>
      <x:c r="F10" s="30" t="str">
        <x:v>发行股数×披露单价约等于实收增资款</x:v>
      </x:c>
      <x:c r="G10" s="30" t="str">
        <x:v>万元人民币</x:v>
      </x:c>
      <x:c r="H10" s="48" t="n">
        <x:v>668</x:v>
      </x:c>
      <x:c r="I10" s="48" t="str">
        <x:v>DISCLOSED_COMPLETE</x:v>
      </x:c>
      <x:c r="J10" s="48" t="n">
        <x:v>668</x:v>
      </x:c>
      <x:c r="K10" s="48" t="str">
        <x:v>AVAILABLE</x:v>
      </x:c>
      <x:c r="L10" s="48" t="n">
        <x:v>667.9050898</x:v>
      </x:c>
      <x:c r="M10" s="48" t="str">
        <x:v>AVAILABLE</x:v>
      </x:c>
      <x:c r="N10" s="48" t="n">
        <x:v>0.09491019999995842</x:v>
      </x:c>
      <x:c r="O10" s="48" t="str">
        <x:v>AVAILABLE</x:v>
      </x:c>
      <x:c r="P10" s="76" t="n">
        <x:v>0.00014208113772448864</x:v>
      </x:c>
      <x:c r="Q10" s="76" t="str">
        <x:v>AVAILABLE</x:v>
      </x:c>
      <x:c r="R10" s="30" t="str">
        <x:v>338.5226×1.973</x:v>
      </x:c>
      <x:c r="S10" s="48" t="str">
        <x:v>{"shares_10k": 338.5226, "price": 1.973}</x:v>
      </x:c>
      <x:c r="T10" s="30" t="n">
        <x:v>0.1</x:v>
      </x:c>
      <x:c r="U10" s="30" t="n">
        <x:v>0.001</x:v>
      </x:c>
      <x:c r="V10" s="48" t="str">
        <x:v>CALCULATED</x:v>
      </x:c>
      <x:c r="W10" s="30" t="str">
        <x:v>GENERATED_VALIDATION</x:v>
      </x:c>
      <x:c r="X10" s="30" t="str">
        <x:v>EVD-301606-0007</x:v>
      </x:c>
      <x:c r="Y10" s="30" t="str">
        <x:v>PASS</x:v>
      </x:c>
      <x:c r="Z10" s="30" t="str">
        <x:v>FINAL_APPROVED</x:v>
      </x:c>
    </x:row>
    <x:row r="11">
      <x:c r="A11" s="30" t="str">
        <x:v>VAL-301606-0007</x:v>
      </x:c>
      <x:c r="B11" s="30" t="str">
        <x:v>301606</x:v>
      </x:c>
      <x:c r="C11" s="30" t="str">
        <x:v>EVT-301606-0008</x:v>
      </x:c>
      <x:c r="D11" s="30" t="str">
        <x:v>TRX-301606-0009</x:v>
      </x:c>
      <x:c r="E11" s="30" t="str">
        <x:v>FINANCING_AMOUNT</x:v>
      </x:c>
      <x:c r="F11" s="30" t="str">
        <x:v>发行股数×披露单价约等于实收增资款</x:v>
      </x:c>
      <x:c r="G11" s="30" t="str">
        <x:v>万元人民币</x:v>
      </x:c>
      <x:c r="H11" s="48" t="n">
        <x:v>30000</x:v>
      </x:c>
      <x:c r="I11" s="48" t="str">
        <x:v>DISCLOSED_COMPLETE</x:v>
      </x:c>
      <x:c r="J11" s="48" t="n">
        <x:v>30000</x:v>
      </x:c>
      <x:c r="K11" s="48" t="str">
        <x:v>AVAILABLE</x:v>
      </x:c>
      <x:c r="L11" s="48" t="n">
        <x:v>30000.009410559996</x:v>
      </x:c>
      <x:c r="M11" s="48" t="str">
        <x:v>AVAILABLE</x:v>
      </x:c>
      <x:c r="N11" s="48" t="n">
        <x:v>-0.009410559996467782</x:v>
      </x:c>
      <x:c r="O11" s="48" t="str">
        <x:v>AVAILABLE</x:v>
      </x:c>
      <x:c r="P11" s="76" t="n">
        <x:v>3.1368533321559276e-7</x:v>
      </x:c>
      <x:c r="Q11" s="76" t="str">
        <x:v>AVAILABLE</x:v>
      </x:c>
      <x:c r="R11" s="30" t="str">
        <x:v>1333.6064×22.4954</x:v>
      </x:c>
      <x:c r="S11" s="48" t="str">
        <x:v>{"shares_10k": 1333.6064, "price": 22.4954}</x:v>
      </x:c>
      <x:c r="T11" s="30" t="n">
        <x:v>0.1</x:v>
      </x:c>
      <x:c r="U11" s="30" t="n">
        <x:v>0.001</x:v>
      </x:c>
      <x:c r="V11" s="48" t="str">
        <x:v>CALCULATED</x:v>
      </x:c>
      <x:c r="W11" s="30" t="str">
        <x:v>GENERATED_VALIDATION</x:v>
      </x:c>
      <x:c r="X11" s="30" t="str">
        <x:v>EVD-301606-0008</x:v>
      </x:c>
      <x:c r="Y11" s="30" t="str">
        <x:v>PASS</x:v>
      </x:c>
      <x:c r="Z11" s="30" t="str">
        <x:v>FINAL_APPROVED</x:v>
      </x:c>
    </x:row>
    <x:row r="12">
      <x:c r="A12" s="30" t="str">
        <x:v>VAL-301606-0008</x:v>
      </x:c>
      <x:c r="B12" s="30" t="str">
        <x:v>301606</x:v>
      </x:c>
      <x:c r="C12" s="30" t="str">
        <x:v>EVT-301606-0008</x:v>
      </x:c>
      <x:c r="D12" s="30" t="str">
        <x:v>TRX-301606-0009</x:v>
      </x:c>
      <x:c r="E12" s="30" t="str">
        <x:v>AGGREGATE_TOTAL</x:v>
      </x:c>
      <x:c r="F12" s="30" t="str">
        <x:v>四家机构增资对价合计</x:v>
      </x:c>
      <x:c r="G12" s="30" t="str">
        <x:v>万元人民币</x:v>
      </x:c>
      <x:c r="H12" s="48" t="n">
        <x:v>30000</x:v>
      </x:c>
      <x:c r="I12" s="48" t="str">
        <x:v>DISCLOSED_COMPLETE</x:v>
      </x:c>
      <x:c r="J12" s="48" t="n">
        <x:v>30000</x:v>
      </x:c>
      <x:c r="K12" s="48" t="str">
        <x:v>AVAILABLE</x:v>
      </x:c>
      <x:c r="L12" s="48" t="n">
        <x:v>30000</x:v>
      </x:c>
      <x:c r="M12" s="48" t="str">
        <x:v>AVAILABLE</x:v>
      </x:c>
      <x:c r="N12" s="48" t="n">
        <x:v>0</x:v>
      </x:c>
      <x:c r="O12" s="48" t="str">
        <x:v>AVAILABLE</x:v>
      </x:c>
      <x:c r="P12" s="76" t="n">
        <x:v>0</x:v>
      </x:c>
      <x:c r="Q12" s="76" t="str">
        <x:v>AVAILABLE</x:v>
      </x:c>
      <x:c r="R12" s="30" t="str">
        <x:v>25000+2000+1500+1500</x:v>
      </x:c>
      <x:c r="S12" s="48" t="str">
        <x:v>{"gaoling": 25000, "shiheng": 2000, "yuanda": 1500, "jianguo": 1500}</x:v>
      </x:c>
      <x:c r="T12" s="30" t="n">
        <x:v>0.000001</x:v>
      </x:c>
      <x:c r="U12" s="30" t="n">
        <x:v>0.000001</x:v>
      </x:c>
      <x:c r="V12" s="48" t="str">
        <x:v>CALCULATED</x:v>
      </x:c>
      <x:c r="W12" s="30" t="str">
        <x:v>GENERATED_VALIDATION</x:v>
      </x:c>
      <x:c r="X12" s="30" t="str">
        <x:v>EVD-301606-0008</x:v>
      </x:c>
      <x:c r="Y12" s="30" t="str">
        <x:v>PASS</x:v>
      </x:c>
      <x:c r="Z12" s="30" t="str">
        <x:v>FINAL_APPROVED</x:v>
      </x:c>
    </x:row>
    <x:row r="13">
      <x:c r="A13" s="31" t="str">
        <x:v>VAL-301606-0009</x:v>
      </x:c>
      <x:c r="B13" s="31" t="str">
        <x:v>301606</x:v>
      </x:c>
      <x:c r="C13" s="31" t="str">
        <x:v>EVT-301606-0009</x:v>
      </x:c>
      <x:c r="D13" s="31" t="str">
        <x:v>TRX-301606-0010</x:v>
      </x:c>
      <x:c r="E13" s="31" t="str">
        <x:v>REGISTERED_CAPITAL</x:v>
      </x:c>
      <x:c r="F13" s="31" t="str">
        <x:v>资本公积每10股转增4股</x:v>
      </x:c>
      <x:c r="G13" s="31" t="str">
        <x:v>万元人民币</x:v>
      </x:c>
      <x:c r="H13" s="49" t="n">
        <x:v>37340.9806</x:v>
      </x:c>
      <x:c r="I13" s="49" t="str">
        <x:v>DISCLOSED_COMPLETE</x:v>
      </x:c>
      <x:c r="J13" s="49" t="n">
        <x:v>37340.9806</x:v>
      </x:c>
      <x:c r="K13" s="49" t="str">
        <x:v>AVAILABLE</x:v>
      </x:c>
      <x:c r="L13" s="49" t="n">
        <x:v>37340.980599999995</x:v>
      </x:c>
      <x:c r="M13" s="49" t="str">
        <x:v>AVAILABLE</x:v>
      </x:c>
      <x:c r="N13" s="49" t="n">
        <x:v>7.275957614183426e-12</x:v>
      </x:c>
      <x:c r="O13" s="49" t="str">
        <x:v>AVAILABLE</x:v>
      </x:c>
      <x:c r="P13" s="77" t="n">
        <x:v>1.9485180885108907e-16</x:v>
      </x:c>
      <x:c r="Q13" s="77" t="str">
        <x:v>AVAILABLE</x:v>
      </x:c>
      <x:c r="R13" s="31" t="str">
        <x:v>26672.129×1.4</x:v>
      </x:c>
      <x:c r="S13" s="49" t="str">
        <x:v>{"before": 26672.129, "factor": 1.4}</x:v>
      </x:c>
      <x:c r="T13" s="31" t="n">
        <x:v>0.000001</x:v>
      </x:c>
      <x:c r="U13" s="31" t="n">
        <x:v>0.000001</x:v>
      </x:c>
      <x:c r="V13" s="49" t="str">
        <x:v>CALCULATED</x:v>
      </x:c>
      <x:c r="W13" s="31" t="str">
        <x:v>GENERATED_VALIDATION</x:v>
      </x:c>
      <x:c r="X13" s="31" t="str">
        <x:v>EVD-301606-0009</x:v>
      </x:c>
      <x:c r="Y13" s="31" t="str">
        <x:v>PASS</x:v>
      </x:c>
      <x:c r="Z13" s="31" t="str">
        <x:v>FINAL_APPROVED</x:v>
      </x:c>
    </x:row>
  </x:sheetData>
  <x:mergeCells>
    <x:mergeCell ref="A1:Z1"/>
    <x:mergeCell ref="A2:Z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8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48" hidden="0" customWidth="1"/>
    <x:col min="15" max="15" width="24" hidden="0" customWidth="1"/>
    <x:col min="16" max="16" width="18" hidden="0" customWidth="1"/>
    <x:col min="17" max="17" width="18" hidden="0" customWidth="1"/>
    <x:col min="18" max="18" width="48" hidden="0" customWidth="1"/>
    <x:col min="19" max="19" width="18" hidden="0" customWidth="1"/>
    <x:col min="20" max="20" width="24" hidden="0" customWidth="1"/>
    <x:col min="21" max="21" width="24" hidden="0" customWidth="1"/>
    <x:col min="22" max="22" width="24" hidden="0" customWidth="1"/>
    <x:col min="23" max="23" width="48" hidden="0" customWidth="1"/>
    <x:col min="24" max="24" width="24" hidden="0" customWidth="1"/>
  </x:cols>
  <x:sheetData>
    <x:row r="1" ht="30" customHeight="1">
      <x:c r="A1" s="3" t="str">
        <x:v>投资路径表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  <x:c r="U3" s="78"/>
      <x:c r="V3" s="78"/>
      <x:c r="W3" s="78"/>
      <x:c r="X3" s="78"/>
    </x:row>
    <x:row r="4" ht="30" customHeight="1">
      <x:c r="A4" s="19" t="str">
        <x:v>path_id</x:v>
      </x:c>
      <x:c r="B4" s="20" t="str">
        <x:v>path_edge_id</x:v>
      </x:c>
      <x:c r="C4" s="20" t="str">
        <x:v>edge_sequence</x:v>
      </x:c>
      <x:c r="D4" s="20" t="str">
        <x:v>company_id</x:v>
      </x:c>
      <x:c r="E4" s="20" t="str">
        <x:v>from_entity_id</x:v>
      </x:c>
      <x:c r="F4" s="20" t="str">
        <x:v>to_entity_id</x:v>
      </x:c>
      <x:c r="G4" s="20" t="str">
        <x:v>edge_type_source</x:v>
      </x:c>
      <x:c r="H4" s="20" t="str">
        <x:v>edge_type_standardized</x:v>
      </x:c>
      <x:c r="I4" s="20" t="str">
        <x:v>ownership_ratio</x:v>
      </x:c>
      <x:c r="J4" s="20" t="str">
        <x:v>ownership_ratio_status</x:v>
      </x:c>
      <x:c r="K4" s="20" t="str">
        <x:v>equity_path_flag</x:v>
      </x:c>
      <x:c r="L4" s="20" t="str">
        <x:v>investor_entity_id</x:v>
      </x:c>
      <x:c r="M4" s="20" t="str">
        <x:v>event_id</x:v>
      </x:c>
      <x:c r="N4" s="20" t="str">
        <x:v>transaction_id</x:v>
      </x:c>
      <x:c r="O4" s="20" t="str">
        <x:v>entry_method</x:v>
      </x:c>
      <x:c r="P4" s="20" t="str">
        <x:v>investment_level</x:v>
      </x:c>
      <x:c r="Q4" s="20" t="str">
        <x:v>direct_indirect</x:v>
      </x:c>
      <x:c r="R4" s="20" t="str">
        <x:v>transaction_date</x:v>
      </x:c>
      <x:c r="S4" s="20" t="str">
        <x:v>date_precision</x:v>
      </x:c>
      <x:c r="T4" s="20" t="str">
        <x:v>evidence_ids</x:v>
      </x:c>
      <x:c r="U4" s="20" t="str">
        <x:v>source_path_status</x:v>
      </x:c>
      <x:c r="V4" s="20" t="str">
        <x:v>standardized_path_status</x:v>
      </x:c>
      <x:c r="W4" s="20" t="str">
        <x:v>standardization_basis</x:v>
      </x:c>
      <x:c r="X4" s="21" t="str">
        <x:v>review_status</x:v>
      </x:c>
    </x:row>
    <x:row r="5">
      <x:c r="A5" s="29" t="str">
        <x:v>PATH-301606-0001</x:v>
      </x:c>
      <x:c r="B5" s="29" t="str">
        <x:v>PATH-301606-0001-E01</x:v>
      </x:c>
      <x:c r="C5" s="29" t="n">
        <x:v>1</x:v>
      </x:c>
      <x:c r="D5" s="29" t="str">
        <x:v>301606</x:v>
      </x:c>
      <x:c r="E5" s="29" t="str">
        <x:v>STD-301606-ZQS</x:v>
      </x:c>
      <x:c r="F5" s="29" t="str">
        <x:v>STD-301606-ISSUER</x:v>
      </x:c>
      <x:c r="G5" s="29" t="str">
        <x:v>EQUITY_HOLDING</x:v>
      </x:c>
      <x:c r="H5" s="29" t="str">
        <x:v>EQUITY_HOLDING</x:v>
      </x:c>
      <x:c r="I5" s="75" t="n">
        <x:v>0.7</x:v>
      </x:c>
      <x:c r="J5" s="75" t="str">
        <x:v>DISCLOSED_COMPLETE</x:v>
      </x:c>
      <x:c r="K5" s="72" t="b">
        <x:v>1</x:v>
      </x:c>
      <x:c r="L5" s="29" t="str">
        <x:v>STD-301606-ZQS</x:v>
      </x:c>
      <x:c r="M5" s="29" t="str">
        <x:v>EVT-301606-0001</x:v>
      </x:c>
      <x:c r="N5" s="29" t="str">
        <x:v>TRX-301606-0001</x:v>
      </x:c>
      <x:c r="O5" s="29" t="str">
        <x:v>ESTABLISHMENT_ENTRY</x:v>
      </x:c>
      <x:c r="P5" s="29" t="str">
        <x:v>ISSUER_LEVEL</x:v>
      </x:c>
      <x:c r="Q5" s="29" t="str">
        <x:v>DIRECT</x:v>
      </x:c>
      <x:c r="R5" s="29" t="str">
        <x:v>2012-03</x:v>
      </x:c>
      <x:c r="S5" s="29" t="str">
        <x:v>MONTH</x:v>
      </x:c>
      <x:c r="T5" s="29" t="str">
        <x:v>EVD-301606-0001</x:v>
      </x:c>
      <x:c r="U5" s="29" t="str">
        <x:v>WEEK11_PROSPECTUS_IDENTIFIED</x:v>
      </x:c>
      <x:c r="V5" s="29" t="str">
        <x:v>CONFIRMED</x:v>
      </x:c>
      <x:c r="W5" s="29" t="str">
        <x:v>WEEK8_SCHEMA_V1.0_DIRECT_REUSE</x:v>
      </x:c>
      <x:c r="X5" s="29" t="str">
        <x:v>FINAL_APPROVED</x:v>
      </x:c>
    </x:row>
    <x:row r="6">
      <x:c r="A6" s="30" t="str">
        <x:v>PATH-301606-0002</x:v>
      </x:c>
      <x:c r="B6" s="30" t="str">
        <x:v>PATH-301606-0002-E01</x:v>
      </x:c>
      <x:c r="C6" s="30" t="n">
        <x:v>1</x:v>
      </x:c>
      <x:c r="D6" s="30" t="str">
        <x:v>301606</x:v>
      </x:c>
      <x:c r="E6" s="30" t="str">
        <x:v>STD-301606-CJL</x:v>
      </x:c>
      <x:c r="F6" s="30" t="str">
        <x:v>STD-301606-ISSUER</x:v>
      </x:c>
      <x:c r="G6" s="30" t="str">
        <x:v>EQUITY_HOLDING</x:v>
      </x:c>
      <x:c r="H6" s="30" t="str">
        <x:v>EQUITY_HOLDING</x:v>
      </x:c>
      <x:c r="I6" s="76" t="n">
        <x:v>0.3</x:v>
      </x:c>
      <x:c r="J6" s="76" t="str">
        <x:v>DISCLOSED_COMPLETE</x:v>
      </x:c>
      <x:c r="K6" s="73" t="b">
        <x:v>1</x:v>
      </x:c>
      <x:c r="L6" s="30" t="str">
        <x:v>STD-301606-CJL</x:v>
      </x:c>
      <x:c r="M6" s="30" t="str">
        <x:v>EVT-301606-0001</x:v>
      </x:c>
      <x:c r="N6" s="30" t="str">
        <x:v>TRX-301606-0001</x:v>
      </x:c>
      <x:c r="O6" s="30" t="str">
        <x:v>ESTABLISHMENT_ENTRY</x:v>
      </x:c>
      <x:c r="P6" s="30" t="str">
        <x:v>ISSUER_LEVEL</x:v>
      </x:c>
      <x:c r="Q6" s="30" t="str">
        <x:v>DIRECT</x:v>
      </x:c>
      <x:c r="R6" s="30" t="str">
        <x:v>2012-03</x:v>
      </x:c>
      <x:c r="S6" s="30" t="str">
        <x:v>MONTH</x:v>
      </x:c>
      <x:c r="T6" s="30" t="str">
        <x:v>EVD-301606-0001</x:v>
      </x:c>
      <x:c r="U6" s="30" t="str">
        <x:v>WEEK11_PROSPECTUS_IDENTIFIED</x:v>
      </x:c>
      <x:c r="V6" s="30" t="str">
        <x:v>CONFIRMED</x:v>
      </x:c>
      <x:c r="W6" s="30" t="str">
        <x:v>WEEK8_SCHEMA_V1.0_DIRECT_REUSE</x:v>
      </x:c>
      <x:c r="X6" s="30" t="str">
        <x:v>FINAL_APPROVED</x:v>
      </x:c>
    </x:row>
    <x:row r="7">
      <x:c r="A7" s="30" t="str">
        <x:v>PATH-301606-0003</x:v>
      </x:c>
      <x:c r="B7" s="30" t="str">
        <x:v>PATH-301606-0003-E01</x:v>
      </x:c>
      <x:c r="C7" s="30" t="n">
        <x:v>1</x:v>
      </x:c>
      <x:c r="D7" s="30" t="str">
        <x:v>301606</x:v>
      </x:c>
      <x:c r="E7" s="30" t="str">
        <x:v>STD-301606-LVLIANZIXUN</x:v>
      </x:c>
      <x:c r="F7" s="30" t="str">
        <x:v>STD-301606-ISSUER</x:v>
      </x:c>
      <x:c r="G7" s="30" t="str">
        <x:v>CAPITAL_INCREASE</x:v>
      </x:c>
      <x:c r="H7" s="30" t="str">
        <x:v>CAPITAL_INCREASE</x:v>
      </x:c>
      <x:c r="I7" s="76" t="n">
        <x:v>0.16</x:v>
      </x:c>
      <x:c r="J7" s="76" t="str">
        <x:v>DISCLOSED_COMPLETE</x:v>
      </x:c>
      <x:c r="K7" s="73" t="b">
        <x:v>1</x:v>
      </x:c>
      <x:c r="L7" s="30" t="str">
        <x:v>STD-301606-LVLIANZIXUN</x:v>
      </x:c>
      <x:c r="M7" s="30" t="str">
        <x:v>EVT-301606-0003</x:v>
      </x:c>
      <x:c r="N7" s="30" t="str">
        <x:v>TRX-301606-0003</x:v>
      </x:c>
      <x:c r="O7" s="30" t="str">
        <x:v>CAPITAL_INCREASE_ENTRY</x:v>
      </x:c>
      <x:c r="P7" s="30" t="str">
        <x:v>ISSUER_LEVEL</x:v>
      </x:c>
      <x:c r="Q7" s="30" t="str">
        <x:v>DIRECT</x:v>
      </x:c>
      <x:c r="R7" s="30" t="str">
        <x:v>2018-12</x:v>
      </x:c>
      <x:c r="S7" s="30" t="str">
        <x:v>MONTH</x:v>
      </x:c>
      <x:c r="T7" s="30" t="str">
        <x:v>EVD-301606-0003</x:v>
      </x:c>
      <x:c r="U7" s="30" t="str">
        <x:v>WEEK11_PROSPECTUS_IDENTIFIED</x:v>
      </x:c>
      <x:c r="V7" s="30" t="str">
        <x:v>CONFIRMED</x:v>
      </x:c>
      <x:c r="W7" s="30" t="str">
        <x:v>WEEK8_SCHEMA_V1.0_DIRECT_REUSE</x:v>
      </x:c>
      <x:c r="X7" s="30" t="str">
        <x:v>FINAL_APPROVED</x:v>
      </x:c>
    </x:row>
    <x:row r="8">
      <x:c r="A8" s="30" t="str">
        <x:v>PATH-301606-0004</x:v>
      </x:c>
      <x:c r="B8" s="30" t="str">
        <x:v>PATH-301606-0004-E01</x:v>
      </x:c>
      <x:c r="C8" s="30" t="n">
        <x:v>1</x:v>
      </x:c>
      <x:c r="D8" s="30" t="str">
        <x:v>301606</x:v>
      </x:c>
      <x:c r="E8" s="30" t="str">
        <x:v>STD-301606-LVLIANHESHUN</x:v>
      </x:c>
      <x:c r="F8" s="30" t="str">
        <x:v>STD-301606-ISSUER</x:v>
      </x:c>
      <x:c r="G8" s="30" t="str">
        <x:v>CAPITAL_INCREASE</x:v>
      </x:c>
      <x:c r="H8" s="30" t="str">
        <x:v>CAPITAL_INCREASE</x:v>
      </x:c>
      <x:c r="I8" s="76" t="n">
        <x:v>0.05</x:v>
      </x:c>
      <x:c r="J8" s="76" t="str">
        <x:v>DISCLOSED_COMPLETE</x:v>
      </x:c>
      <x:c r="K8" s="73" t="b">
        <x:v>1</x:v>
      </x:c>
      <x:c r="L8" s="30" t="str">
        <x:v>STD-301606-LVLIANHESHUN</x:v>
      </x:c>
      <x:c r="M8" s="30" t="str">
        <x:v>EVT-301606-0004</x:v>
      </x:c>
      <x:c r="N8" s="30" t="str">
        <x:v>TRX-301606-0004</x:v>
      </x:c>
      <x:c r="O8" s="30" t="str">
        <x:v>CAPITAL_INCREASE_ENTRY</x:v>
      </x:c>
      <x:c r="P8" s="30" t="str">
        <x:v>ISSUER_LEVEL</x:v>
      </x:c>
      <x:c r="Q8" s="30" t="str">
        <x:v>DIRECT</x:v>
      </x:c>
      <x:c r="R8" s="30" t="str">
        <x:v>2020-07</x:v>
      </x:c>
      <x:c r="S8" s="30" t="str">
        <x:v>MONTH</x:v>
      </x:c>
      <x:c r="T8" s="30" t="str">
        <x:v>EVD-301606-0004</x:v>
      </x:c>
      <x:c r="U8" s="30" t="str">
        <x:v>WEEK11_PROSPECTUS_IDENTIFIED</x:v>
      </x:c>
      <x:c r="V8" s="30" t="str">
        <x:v>CONFIRMED</x:v>
      </x:c>
      <x:c r="W8" s="30" t="str">
        <x:v>WEEK8_SCHEMA_V1.0_DIRECT_REUSE</x:v>
      </x:c>
      <x:c r="X8" s="30" t="str">
        <x:v>FINAL_APPROVED</x:v>
      </x:c>
    </x:row>
    <x:row r="9">
      <x:c r="A9" s="30" t="str">
        <x:v>PATH-301606-0005</x:v>
      </x:c>
      <x:c r="B9" s="30" t="str">
        <x:v>PATH-301606-0005-E01</x:v>
      </x:c>
      <x:c r="C9" s="30" t="n">
        <x:v>1</x:v>
      </x:c>
      <x:c r="D9" s="30" t="str">
        <x:v>301606</x:v>
      </x:c>
      <x:c r="E9" s="30" t="str">
        <x:v>STD-301606-HS2</x:v>
      </x:c>
      <x:c r="F9" s="30" t="str">
        <x:v>STD-301606-ISSUER</x:v>
      </x:c>
      <x:c r="G9" s="30" t="str">
        <x:v>CAPITAL_INCREASE</x:v>
      </x:c>
      <x:c r="H9" s="30" t="str">
        <x:v>CAPITAL_INCREASE</x:v>
      </x:c>
      <x:c r="I9" s="76" t="n">
        <x:v>0.00398</x:v>
      </x:c>
      <x:c r="J9" s="76" t="str">
        <x:v>DISCLOSED_COMPLETE</x:v>
      </x:c>
      <x:c r="K9" s="73" t="b">
        <x:v>1</x:v>
      </x:c>
      <x:c r="L9" s="30" t="str">
        <x:v>STD-301606-HS2</x:v>
      </x:c>
      <x:c r="M9" s="30" t="str">
        <x:v>EVT-301606-0007</x:v>
      </x:c>
      <x:c r="N9" s="30" t="str">
        <x:v>TRX-301606-0008</x:v>
      </x:c>
      <x:c r="O9" s="30" t="str">
        <x:v>DIRECTIONAL_ISSUANCE_ENTRY</x:v>
      </x:c>
      <x:c r="P9" s="30" t="str">
        <x:v>ISSUER_LEVEL</x:v>
      </x:c>
      <x:c r="Q9" s="30" t="str">
        <x:v>DIRECT</x:v>
      </x:c>
      <x:c r="R9" s="30" t="str">
        <x:v>2021-06</x:v>
      </x:c>
      <x:c r="S9" s="30" t="str">
        <x:v>MONTH</x:v>
      </x:c>
      <x:c r="T9" s="30" t="str">
        <x:v>EVD-301606-0007</x:v>
      </x:c>
      <x:c r="U9" s="30" t="str">
        <x:v>WEEK11_PROSPECTUS_IDENTIFIED</x:v>
      </x:c>
      <x:c r="V9" s="30" t="str">
        <x:v>CONFIRMED</x:v>
      </x:c>
      <x:c r="W9" s="30" t="str">
        <x:v>WEEK8_SCHEMA_V1.0_DIRECT_REUSE</x:v>
      </x:c>
      <x:c r="X9" s="30" t="str">
        <x:v>FINAL_APPROVED</x:v>
      </x:c>
    </x:row>
    <x:row r="10">
      <x:c r="A10" s="30" t="str">
        <x:v>PATH-301606-0006</x:v>
      </x:c>
      <x:c r="B10" s="30" t="str">
        <x:v>PATH-301606-0006-E01</x:v>
      </x:c>
      <x:c r="C10" s="30" t="n">
        <x:v>1</x:v>
      </x:c>
      <x:c r="D10" s="30" t="str">
        <x:v>301606</x:v>
      </x:c>
      <x:c r="E10" s="30" t="str">
        <x:v>STD-301606-HS3</x:v>
      </x:c>
      <x:c r="F10" s="30" t="str">
        <x:v>STD-301606-ISSUER</x:v>
      </x:c>
      <x:c r="G10" s="30" t="str">
        <x:v>CAPITAL_INCREASE</x:v>
      </x:c>
      <x:c r="H10" s="30" t="str">
        <x:v>CAPITAL_INCREASE</x:v>
      </x:c>
      <x:c r="I10" s="76" t="n">
        <x:v>0.00452</x:v>
      </x:c>
      <x:c r="J10" s="76" t="str">
        <x:v>DISCLOSED_COMPLETE</x:v>
      </x:c>
      <x:c r="K10" s="73" t="b">
        <x:v>1</x:v>
      </x:c>
      <x:c r="L10" s="30" t="str">
        <x:v>STD-301606-HS3</x:v>
      </x:c>
      <x:c r="M10" s="30" t="str">
        <x:v>EVT-301606-0007</x:v>
      </x:c>
      <x:c r="N10" s="30" t="str">
        <x:v>TRX-301606-0008</x:v>
      </x:c>
      <x:c r="O10" s="30" t="str">
        <x:v>DIRECTIONAL_ISSUANCE_ENTRY</x:v>
      </x:c>
      <x:c r="P10" s="30" t="str">
        <x:v>ISSUER_LEVEL</x:v>
      </x:c>
      <x:c r="Q10" s="30" t="str">
        <x:v>DIRECT</x:v>
      </x:c>
      <x:c r="R10" s="30" t="str">
        <x:v>2021-06</x:v>
      </x:c>
      <x:c r="S10" s="30" t="str">
        <x:v>MONTH</x:v>
      </x:c>
      <x:c r="T10" s="30" t="str">
        <x:v>EVD-301606-0007</x:v>
      </x:c>
      <x:c r="U10" s="30" t="str">
        <x:v>WEEK11_PROSPECTUS_IDENTIFIED</x:v>
      </x:c>
      <x:c r="V10" s="30" t="str">
        <x:v>CONFIRMED</x:v>
      </x:c>
      <x:c r="W10" s="30" t="str">
        <x:v>WEEK8_SCHEMA_V1.0_DIRECT_REUSE</x:v>
      </x:c>
      <x:c r="X10" s="30" t="str">
        <x:v>FINAL_APPROVED</x:v>
      </x:c>
    </x:row>
    <x:row r="11">
      <x:c r="A11" s="30" t="str">
        <x:v>PATH-301606-0007</x:v>
      </x:c>
      <x:c r="B11" s="30" t="str">
        <x:v>PATH-301606-0007-E01</x:v>
      </x:c>
      <x:c r="C11" s="30" t="n">
        <x:v>1</x:v>
      </x:c>
      <x:c r="D11" s="30" t="str">
        <x:v>301606</x:v>
      </x:c>
      <x:c r="E11" s="30" t="str">
        <x:v>STD-301606-HS4</x:v>
      </x:c>
      <x:c r="F11" s="30" t="str">
        <x:v>STD-301606-ISSUER</x:v>
      </x:c>
      <x:c r="G11" s="30" t="str">
        <x:v>CAPITAL_INCREASE</x:v>
      </x:c>
      <x:c r="H11" s="30" t="str">
        <x:v>CAPITAL_INCREASE</x:v>
      </x:c>
      <x:c r="I11" s="76" t="n">
        <x:v>0.00486</x:v>
      </x:c>
      <x:c r="J11" s="76" t="str">
        <x:v>DISCLOSED_COMPLETE</x:v>
      </x:c>
      <x:c r="K11" s="73" t="b">
        <x:v>1</x:v>
      </x:c>
      <x:c r="L11" s="30" t="str">
        <x:v>STD-301606-HS4</x:v>
      </x:c>
      <x:c r="M11" s="30" t="str">
        <x:v>EVT-301606-0007</x:v>
      </x:c>
      <x:c r="N11" s="30" t="str">
        <x:v>TRX-301606-0008</x:v>
      </x:c>
      <x:c r="O11" s="30" t="str">
        <x:v>DIRECTIONAL_ISSUANCE_ENTRY</x:v>
      </x:c>
      <x:c r="P11" s="30" t="str">
        <x:v>ISSUER_LEVEL</x:v>
      </x:c>
      <x:c r="Q11" s="30" t="str">
        <x:v>DIRECT</x:v>
      </x:c>
      <x:c r="R11" s="30" t="str">
        <x:v>2021-06</x:v>
      </x:c>
      <x:c r="S11" s="30" t="str">
        <x:v>MONTH</x:v>
      </x:c>
      <x:c r="T11" s="30" t="str">
        <x:v>EVD-301606-0007</x:v>
      </x:c>
      <x:c r="U11" s="30" t="str">
        <x:v>WEEK11_PROSPECTUS_IDENTIFIED</x:v>
      </x:c>
      <x:c r="V11" s="30" t="str">
        <x:v>CONFIRMED</x:v>
      </x:c>
      <x:c r="W11" s="30" t="str">
        <x:v>WEEK8_SCHEMA_V1.0_DIRECT_REUSE</x:v>
      </x:c>
      <x:c r="X11" s="30" t="str">
        <x:v>FINAL_APPROVED</x:v>
      </x:c>
    </x:row>
    <x:row r="12">
      <x:c r="A12" s="30" t="str">
        <x:v>PATH-301606-0008</x:v>
      </x:c>
      <x:c r="B12" s="30" t="str">
        <x:v>PATH-301606-0008-E01</x:v>
      </x:c>
      <x:c r="C12" s="30" t="n">
        <x:v>1</x:v>
      </x:c>
      <x:c r="D12" s="30" t="str">
        <x:v>301606</x:v>
      </x:c>
      <x:c r="E12" s="30" t="str">
        <x:v>STD-301606-GAOLING</x:v>
      </x:c>
      <x:c r="F12" s="30" t="str">
        <x:v>STD-301606-ISSUER</x:v>
      </x:c>
      <x:c r="G12" s="30" t="str">
        <x:v>TRANSFER</x:v>
      </x:c>
      <x:c r="H12" s="30" t="str">
        <x:v>TRANSFER</x:v>
      </x:c>
      <x:c r="I12" s="76" t="n">
        <x:v>0.055556</x:v>
      </x:c>
      <x:c r="J12" s="76" t="str">
        <x:v>DISCLOSED_COMPLETE</x:v>
      </x:c>
      <x:c r="K12" s="73" t="b">
        <x:v>1</x:v>
      </x:c>
      <x:c r="L12" s="30" t="str">
        <x:v>STD-301606-GAOLING</x:v>
      </x:c>
      <x:c r="M12" s="30" t="str">
        <x:v>EVT-301606-0005</x:v>
      </x:c>
      <x:c r="N12" s="30" t="str">
        <x:v>TRX-301606-0006</x:v>
      </x:c>
      <x:c r="O12" s="30" t="str">
        <x:v>TRANSFER_ENTRY</x:v>
      </x:c>
      <x:c r="P12" s="30" t="str">
        <x:v>ISSUER_LEVEL</x:v>
      </x:c>
      <x:c r="Q12" s="30" t="str">
        <x:v>DIRECT</x:v>
      </x:c>
      <x:c r="R12" s="30" t="str">
        <x:v>2021-05</x:v>
      </x:c>
      <x:c r="S12" s="30" t="str">
        <x:v>MONTH</x:v>
      </x:c>
      <x:c r="T12" s="30" t="str">
        <x:v>EVD-301606-0005;EVD-301606-0010</x:v>
      </x:c>
      <x:c r="U12" s="30" t="str">
        <x:v>WEEK11_PROSPECTUS_IDENTIFIED</x:v>
      </x:c>
      <x:c r="V12" s="30" t="str">
        <x:v>CONFIRMED</x:v>
      </x:c>
      <x:c r="W12" s="30" t="str">
        <x:v>WEEK8_SCHEMA_V1.0_DIRECT_REUSE</x:v>
      </x:c>
      <x:c r="X12" s="30" t="str">
        <x:v>FINAL_APPROVED</x:v>
      </x:c>
    </x:row>
    <x:row r="13">
      <x:c r="A13" s="30" t="str">
        <x:v>PATH-301606-0009</x:v>
      </x:c>
      <x:c r="B13" s="30" t="str">
        <x:v>PATH-301606-0009-E01</x:v>
      </x:c>
      <x:c r="C13" s="30" t="n">
        <x:v>1</x:v>
      </x:c>
      <x:c r="D13" s="30" t="str">
        <x:v>301606</x:v>
      </x:c>
      <x:c r="E13" s="30" t="str">
        <x:v>STD-301606-GAOLING</x:v>
      </x:c>
      <x:c r="F13" s="30" t="str">
        <x:v>STD-301606-ISSUER</x:v>
      </x:c>
      <x:c r="G13" s="30" t="str">
        <x:v>CAPITAL_INCREASE</x:v>
      </x:c>
      <x:c r="H13" s="30" t="str">
        <x:v>CAPITAL_INCREASE</x:v>
      </x:c>
      <x:c r="I13" s="76" t="n">
        <x:v>0.09374</x:v>
      </x:c>
      <x:c r="J13" s="76" t="str">
        <x:v>DISCLOSED_COMPLETE</x:v>
      </x:c>
      <x:c r="K13" s="73" t="b">
        <x:v>1</x:v>
      </x:c>
      <x:c r="L13" s="30" t="str">
        <x:v>STD-301606-GAOLING</x:v>
      </x:c>
      <x:c r="M13" s="30" t="str">
        <x:v>EVT-301606-0008</x:v>
      </x:c>
      <x:c r="N13" s="30" t="str">
        <x:v>TRX-301606-0009</x:v>
      </x:c>
      <x:c r="O13" s="30" t="str">
        <x:v>DIRECTIONAL_ISSUANCE_ENTRY</x:v>
      </x:c>
      <x:c r="P13" s="30" t="str">
        <x:v>ISSUER_LEVEL</x:v>
      </x:c>
      <x:c r="Q13" s="30" t="str">
        <x:v>DIRECT</x:v>
      </x:c>
      <x:c r="R13" s="30" t="str">
        <x:v>2021-06</x:v>
      </x:c>
      <x:c r="S13" s="30" t="str">
        <x:v>MONTH</x:v>
      </x:c>
      <x:c r="T13" s="30" t="str">
        <x:v>EVD-301606-0008;EVD-301606-0010</x:v>
      </x:c>
      <x:c r="U13" s="30" t="str">
        <x:v>WEEK11_PROSPECTUS_IDENTIFIED</x:v>
      </x:c>
      <x:c r="V13" s="30" t="str">
        <x:v>CONFIRMED</x:v>
      </x:c>
      <x:c r="W13" s="30" t="str">
        <x:v>WEEK8_SCHEMA_V1.0_DIRECT_REUSE</x:v>
      </x:c>
      <x:c r="X13" s="30" t="str">
        <x:v>FINAL_APPROVED</x:v>
      </x:c>
    </x:row>
    <x:row r="14">
      <x:c r="A14" s="30" t="str">
        <x:v>PATH-301606-0010</x:v>
      </x:c>
      <x:c r="B14" s="30" t="str">
        <x:v>PATH-301606-0010-E01</x:v>
      </x:c>
      <x:c r="C14" s="30" t="n">
        <x:v>1</x:v>
      </x:c>
      <x:c r="D14" s="30" t="str">
        <x:v>301606</x:v>
      </x:c>
      <x:c r="E14" s="30" t="str">
        <x:v>STD-301606-SHENZHENSHIHENG</x:v>
      </x:c>
      <x:c r="F14" s="30" t="str">
        <x:v>STD-301606-ISSUER</x:v>
      </x:c>
      <x:c r="G14" s="30" t="str">
        <x:v>CAPITAL_INCREASE</x:v>
      </x:c>
      <x:c r="H14" s="30" t="str">
        <x:v>CAPITAL_INCREASE</x:v>
      </x:c>
      <x:c r="I14" s="76" t="n">
        <x:v>0.003333</x:v>
      </x:c>
      <x:c r="J14" s="76" t="str">
        <x:v>DISCLOSED_COMPLETE</x:v>
      </x:c>
      <x:c r="K14" s="73" t="b">
        <x:v>1</x:v>
      </x:c>
      <x:c r="L14" s="30" t="str">
        <x:v>STD-301606-SHENZHENSHIHENG</x:v>
      </x:c>
      <x:c r="M14" s="30" t="str">
        <x:v>EVT-301606-0008</x:v>
      </x:c>
      <x:c r="N14" s="30" t="str">
        <x:v>TRX-301606-0009</x:v>
      </x:c>
      <x:c r="O14" s="30" t="str">
        <x:v>DIRECTIONAL_ISSUANCE_ENTRY</x:v>
      </x:c>
      <x:c r="P14" s="30" t="str">
        <x:v>ISSUER_LEVEL</x:v>
      </x:c>
      <x:c r="Q14" s="30" t="str">
        <x:v>DIRECT</x:v>
      </x:c>
      <x:c r="R14" s="30" t="str">
        <x:v>2021-06</x:v>
      </x:c>
      <x:c r="S14" s="30" t="str">
        <x:v>MONTH</x:v>
      </x:c>
      <x:c r="T14" s="30" t="str">
        <x:v>EVD-301606-0008;EVD-301606-0012</x:v>
      </x:c>
      <x:c r="U14" s="30" t="str">
        <x:v>WEEK11_PROSPECTUS_IDENTIFIED</x:v>
      </x:c>
      <x:c r="V14" s="30" t="str">
        <x:v>CONFIRMED</x:v>
      </x:c>
      <x:c r="W14" s="30" t="str">
        <x:v>WEEK8_SCHEMA_V1.0_DIRECT_REUSE</x:v>
      </x:c>
      <x:c r="X14" s="30" t="str">
        <x:v>FINAL_APPROVED</x:v>
      </x:c>
    </x:row>
    <x:row r="15">
      <x:c r="A15" s="30" t="str">
        <x:v>PATH-301606-0011</x:v>
      </x:c>
      <x:c r="B15" s="30" t="str">
        <x:v>PATH-301606-0011-E01</x:v>
      </x:c>
      <x:c r="C15" s="30" t="n">
        <x:v>1</x:v>
      </x:c>
      <x:c r="D15" s="30" t="str">
        <x:v>301606</x:v>
      </x:c>
      <x:c r="E15" s="30" t="str">
        <x:v>STD-301606-YUANDA</x:v>
      </x:c>
      <x:c r="F15" s="30" t="str">
        <x:v>STD-301606-ISSUER</x:v>
      </x:c>
      <x:c r="G15" s="30" t="str">
        <x:v>CAPITAL_INCREASE</x:v>
      </x:c>
      <x:c r="H15" s="30" t="str">
        <x:v>CAPITAL_INCREASE</x:v>
      </x:c>
      <x:c r="I15" s="76" t="n">
        <x:v>0.0025</x:v>
      </x:c>
      <x:c r="J15" s="76" t="str">
        <x:v>DISCLOSED_COMPLETE</x:v>
      </x:c>
      <x:c r="K15" s="73" t="b">
        <x:v>1</x:v>
      </x:c>
      <x:c r="L15" s="30" t="str">
        <x:v>STD-301606-YUANDA</x:v>
      </x:c>
      <x:c r="M15" s="30" t="str">
        <x:v>EVT-301606-0008</x:v>
      </x:c>
      <x:c r="N15" s="30" t="str">
        <x:v>TRX-301606-0009</x:v>
      </x:c>
      <x:c r="O15" s="30" t="str">
        <x:v>DIRECTIONAL_ISSUANCE_ENTRY</x:v>
      </x:c>
      <x:c r="P15" s="30" t="str">
        <x:v>ISSUER_LEVEL</x:v>
      </x:c>
      <x:c r="Q15" s="30" t="str">
        <x:v>DIRECT</x:v>
      </x:c>
      <x:c r="R15" s="30" t="str">
        <x:v>2021-06</x:v>
      </x:c>
      <x:c r="S15" s="30" t="str">
        <x:v>MONTH</x:v>
      </x:c>
      <x:c r="T15" s="30" t="str">
        <x:v>EVD-301606-0008;EVD-301606-0012</x:v>
      </x:c>
      <x:c r="U15" s="30" t="str">
        <x:v>WEEK11_PROSPECTUS_IDENTIFIED</x:v>
      </x:c>
      <x:c r="V15" s="30" t="str">
        <x:v>CONFIRMED</x:v>
      </x:c>
      <x:c r="W15" s="30" t="str">
        <x:v>WEEK8_SCHEMA_V1.0_DIRECT_REUSE</x:v>
      </x:c>
      <x:c r="X15" s="30" t="str">
        <x:v>FINAL_APPROVED</x:v>
      </x:c>
    </x:row>
    <x:row r="16">
      <x:c r="A16" s="31" t="str">
        <x:v>PATH-301606-0012</x:v>
      </x:c>
      <x:c r="B16" s="31" t="str">
        <x:v>PATH-301606-0012-E01</x:v>
      </x:c>
      <x:c r="C16" s="31" t="n">
        <x:v>1</x:v>
      </x:c>
      <x:c r="D16" s="31" t="str">
        <x:v>301606</x:v>
      </x:c>
      <x:c r="E16" s="31" t="str">
        <x:v>STD-301606-JIANGUO</x:v>
      </x:c>
      <x:c r="F16" s="31" t="str">
        <x:v>STD-301606-ISSUER</x:v>
      </x:c>
      <x:c r="G16" s="31" t="str">
        <x:v>CAPITAL_INCREASE</x:v>
      </x:c>
      <x:c r="H16" s="31" t="str">
        <x:v>CAPITAL_INCREASE</x:v>
      </x:c>
      <x:c r="I16" s="77" t="n">
        <x:v>0.0025</x:v>
      </x:c>
      <x:c r="J16" s="77" t="str">
        <x:v>DISCLOSED_COMPLETE</x:v>
      </x:c>
      <x:c r="K16" s="74" t="b">
        <x:v>1</x:v>
      </x:c>
      <x:c r="L16" s="31" t="str">
        <x:v>STD-301606-JIANGUO</x:v>
      </x:c>
      <x:c r="M16" s="31" t="str">
        <x:v>EVT-301606-0008</x:v>
      </x:c>
      <x:c r="N16" s="31" t="str">
        <x:v>TRX-301606-0009</x:v>
      </x:c>
      <x:c r="O16" s="31" t="str">
        <x:v>DIRECTIONAL_ISSUANCE_ENTRY</x:v>
      </x:c>
      <x:c r="P16" s="31" t="str">
        <x:v>ISSUER_LEVEL</x:v>
      </x:c>
      <x:c r="Q16" s="31" t="str">
        <x:v>DIRECT</x:v>
      </x:c>
      <x:c r="R16" s="31" t="str">
        <x:v>2021-06</x:v>
      </x:c>
      <x:c r="S16" s="31" t="str">
        <x:v>MONTH</x:v>
      </x:c>
      <x:c r="T16" s="31" t="str">
        <x:v>EVD-301606-0008;EVD-301606-0011</x:v>
      </x:c>
      <x:c r="U16" s="31" t="str">
        <x:v>WEEK11_PROSPECTUS_IDENTIFIED</x:v>
      </x:c>
      <x:c r="V16" s="31" t="str">
        <x:v>CONFIRMED</x:v>
      </x:c>
      <x:c r="W16" s="31" t="str">
        <x:v>WEEK8_SCHEMA_V1.0_DIRECT_REUSE</x:v>
      </x:c>
      <x:c r="X16" s="31" t="str">
        <x:v>FINAL_APPROVED</x:v>
      </x:c>
    </x:row>
  </x:sheetData>
  <x:mergeCells>
    <x:mergeCell ref="A1:X1"/>
    <x:mergeCell ref="A2:X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34" hidden="0" customWidth="1"/>
    <x:col min="5" max="5" width="24" hidden="0" customWidth="1"/>
    <x:col min="6" max="6" width="24" hidden="0" customWidth="1"/>
    <x:col min="7" max="7" width="48" hidden="0" customWidth="1"/>
    <x:col min="8" max="8" width="24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48" hidden="0" customWidth="1"/>
    <x:col min="14" max="14" width="48" hidden="0" customWidth="1"/>
    <x:col min="15" max="15" width="48" hidden="0" customWidth="1"/>
    <x:col min="16" max="16" width="18" hidden="0" customWidth="1"/>
    <x:col min="17" max="17" width="24" hidden="0" customWidth="1"/>
    <x:col min="18" max="18" width="48" hidden="0" customWidth="1"/>
    <x:col min="19" max="19" width="48" hidden="0" customWidth="1"/>
    <x:col min="20" max="20" width="24" hidden="0" customWidth="1"/>
  </x:cols>
  <x:sheetData>
    <x:row r="1" ht="30" customHeight="1">
      <x:c r="A1" s="3" t="str">
        <x:v>问题记录表 · 绿联科技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Week 8 Schema v1.0原字段顺序；本表仅包含第九家公司扩展层，不修改原八家公司冻结数据。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3">
      <x:c r="A3" s="78"/>
      <x:c r="B3" s="78"/>
      <x:c r="C3" s="78"/>
      <x:c r="D3" s="78"/>
      <x:c r="E3" s="78"/>
      <x:c r="F3" s="78"/>
      <x:c r="G3" s="78"/>
      <x:c r="H3" s="78"/>
      <x:c r="I3" s="78"/>
      <x:c r="J3" s="78"/>
      <x:c r="K3" s="78"/>
      <x:c r="L3" s="78"/>
      <x:c r="M3" s="78"/>
      <x:c r="N3" s="78"/>
      <x:c r="O3" s="78"/>
      <x:c r="P3" s="78"/>
      <x:c r="Q3" s="78"/>
      <x:c r="R3" s="78"/>
      <x:c r="S3" s="78"/>
      <x:c r="T3" s="78"/>
    </x:row>
    <x:row r="4" ht="30" customHeight="1">
      <x:c r="A4" s="19" t="str">
        <x:v>issue_id</x:v>
      </x:c>
      <x:c r="B4" s="20" t="str">
        <x:v>object_type</x:v>
      </x:c>
      <x:c r="C4" s="20" t="str">
        <x:v>object_id</x:v>
      </x:c>
      <x:c r="D4" s="20" t="str">
        <x:v>field_name</x:v>
      </x:c>
      <x:c r="E4" s="20" t="str">
        <x:v>company_id</x:v>
      </x:c>
      <x:c r="F4" s="20" t="str">
        <x:v>event_id</x:v>
      </x:c>
      <x:c r="G4" s="20" t="str">
        <x:v>transaction_id</x:v>
      </x:c>
      <x:c r="H4" s="20" t="str">
        <x:v>entity_id</x:v>
      </x:c>
      <x:c r="I4" s="20" t="str">
        <x:v>issue_category</x:v>
      </x:c>
      <x:c r="J4" s="20" t="str">
        <x:v>rule_id</x:v>
      </x:c>
      <x:c r="K4" s="20" t="str">
        <x:v>detected_by</x:v>
      </x:c>
      <x:c r="L4" s="20" t="str">
        <x:v>severity</x:v>
      </x:c>
      <x:c r="M4" s="20" t="str">
        <x:v>issue_description</x:v>
      </x:c>
      <x:c r="N4" s="20" t="str">
        <x:v>impact</x:v>
      </x:c>
      <x:c r="O4" s="20" t="str">
        <x:v>required_action</x:v>
      </x:c>
      <x:c r="P4" s="20" t="str">
        <x:v>prospectus_recheck_required</x:v>
      </x:c>
      <x:c r="Q4" s="20" t="str">
        <x:v>status</x:v>
      </x:c>
      <x:c r="R4" s="20" t="str">
        <x:v>resolution_note</x:v>
      </x:c>
      <x:c r="S4" s="20" t="str">
        <x:v>resolution_basis</x:v>
      </x:c>
      <x:c r="T4" s="21" t="str">
        <x:v>review_status</x:v>
      </x:c>
    </x:row>
    <x:row r="5">
      <x:c r="A5" s="29" t="str">
        <x:v>W11-ISS-001</x:v>
      </x:c>
      <x:c r="B5" s="29" t="str">
        <x:v>ENTITY</x:v>
      </x:c>
      <x:c r="C5" s="29" t="str">
        <x:v>STD-301606-GAOLING</x:v>
      </x:c>
      <x:c r="D5" s="29" t="str">
        <x:v>standardized_pevc_status</x:v>
      </x:c>
      <x:c r="E5" s="29" t="str">
        <x:v>301606</x:v>
      </x:c>
      <x:c r="F5" s="29"/>
      <x:c r="G5" s="29"/>
      <x:c r="H5" s="29" t="str">
        <x:v>STD-301606-GAOLING</x:v>
      </x:c>
      <x:c r="I5" s="29" t="str">
        <x:v>ENTITY</x:v>
      </x:c>
      <x:c r="J5" s="29" t="str">
        <x:v>WEEK11_EXTENSION_REUSE_REVIEW</x:v>
      </x:c>
      <x:c r="K5" s="29" t="str">
        <x:v>MANUAL_REVIEW</x:v>
      </x:c>
      <x:c r="L5" s="29" t="str">
        <x:v>B_MATERIAL</x:v>
      </x:c>
      <x:c r="M5" s="29" t="str">
        <x:v>高瓴锡恒本身不属于备案私募基金，但招股书称其为知名投资机构，且底层包含备案基金。</x:v>
      </x:c>
      <x:c r="N5" s="29" t="str">
        <x:v>若仅按直接主体基金备案机械判断，会漏计高瓴投资体系。</x:v>
      </x:c>
      <x:c r="O5" s="29" t="str">
        <x:v>沿用证据优先规则，确认直接投资载体的机构属性并保留完整依据。</x:v>
      </x:c>
      <x:c r="P5" s="72" t="b">
        <x:v>0</x:v>
      </x:c>
      <x:c r="Q5" s="29" t="str">
        <x:v>RESOLVED</x:v>
      </x:c>
      <x:c r="R5" s="29" t="str">
        <x:v>按现有PEVC_CONFIRMED枚举表达，无需新增字段。</x:v>
      </x:c>
      <x:c r="S5" s="29" t="str">
        <x:v>WEEK8_SCHEMA_V1.0_PLUS_WEEK10_RESEARCH_RULES</x:v>
      </x:c>
      <x:c r="T5" s="29" t="str">
        <x:v>FINAL_APPROVED</x:v>
      </x:c>
    </x:row>
    <x:row r="6">
      <x:c r="A6" s="30" t="str">
        <x:v>W11-ISS-002</x:v>
      </x:c>
      <x:c r="B6" s="30" t="str">
        <x:v>EVENT</x:v>
      </x:c>
      <x:c r="C6" s="30" t="str">
        <x:v>EVT-301606-0007</x:v>
      </x:c>
      <x:c r="D6" s="30" t="str">
        <x:v>event_date_standardized</x:v>
      </x:c>
      <x:c r="E6" s="30" t="str">
        <x:v>301606</x:v>
      </x:c>
      <x:c r="F6" s="30" t="str">
        <x:v>EVT-301606-0007</x:v>
      </x:c>
      <x:c r="G6" s="30"/>
      <x:c r="H6" s="30"/>
      <x:c r="I6" s="30" t="str">
        <x:v>DATE</x:v>
      </x:c>
      <x:c r="J6" s="30" t="str">
        <x:v>WEEK11_EXTENSION_REUSE_REVIEW</x:v>
      </x:c>
      <x:c r="K6" s="30" t="str">
        <x:v>MANUAL_REVIEW</x:v>
      </x:c>
      <x:c r="L6" s="30" t="str">
        <x:v>B_MATERIAL</x:v>
      </x:c>
      <x:c r="M6" s="30" t="str">
        <x:v>2021年6月存在两次不同目的、不同股东决议的定向发行。</x:v>
      </x:c>
      <x:c r="N6" s="30" t="str">
        <x:v>只按月份去重会把两轮融资错误合并。</x:v>
      </x:c>
      <x:c r="O6" s="30" t="str">
        <x:v>以独立决议、认购对象和交易目的确定事件边界，event_sequence保留顺序。</x:v>
      </x:c>
      <x:c r="P6" s="73" t="b">
        <x:v>0</x:v>
      </x:c>
      <x:c r="Q6" s="30" t="str">
        <x:v>RESOLVED</x:v>
      </x:c>
      <x:c r="R6" s="30" t="str">
        <x:v>现有event_id与event_sequence足够表达，无需v1.1。</x:v>
      </x:c>
      <x:c r="S6" s="30" t="str">
        <x:v>WEEK8_SCHEMA_V1.0_PLUS_WEEK10_RESEARCH_RULES</x:v>
      </x:c>
      <x:c r="T6" s="30" t="str">
        <x:v>FINAL_APPROVED</x:v>
      </x:c>
    </x:row>
    <x:row r="7">
      <x:c r="A7" s="31" t="str">
        <x:v>W11-ISS-003</x:v>
      </x:c>
      <x:c r="B7" s="31" t="str">
        <x:v>CROSS_OBJECT</x:v>
      </x:c>
      <x:c r="C7" s="31" t="str">
        <x:v>CV015|CV017</x:v>
      </x:c>
      <x:c r="D7" s="31"/>
      <x:c r="E7" s="31" t="str">
        <x:v>301606</x:v>
      </x:c>
      <x:c r="F7" s="31"/>
      <x:c r="G7" s="31"/>
      <x:c r="H7" s="31"/>
      <x:c r="I7" s="31" t="str">
        <x:v>CALIBER</x:v>
      </x:c>
      <x:c r="J7" s="31" t="str">
        <x:v>WEEK11_EXTENSION_REUSE_REVIEW</x:v>
      </x:c>
      <x:c r="K7" s="31" t="str">
        <x:v>MANUAL_REVIEW</x:v>
      </x:c>
      <x:c r="L7" s="31" t="str">
        <x:v>B_MATERIAL</x:v>
      </x:c>
      <x:c r="M7" s="31" t="str">
        <x:v>确认PE/VC首先通过老股受让进入，随后才参加第5轮直接融资。</x:v>
      </x:c>
      <x:c r="N7" s="31" t="str">
        <x:v>单独使用CV017会忽略PE/VC已经在融资轮之前进入。</x:v>
      </x:c>
      <x:c r="O7" s="31" t="str">
        <x:v>CV015与CV017必须联合解释，并由CV019标记两种进入方式。</x:v>
      </x:c>
      <x:c r="P7" s="74" t="b">
        <x:v>0</x:v>
      </x:c>
      <x:c r="Q7" s="31" t="str">
        <x:v>ACCEPTED_LIMITATION</x:v>
      </x:c>
      <x:c r="R7" s="31" t="str">
        <x:v>属于变量解释边界，不要求修改32变量。</x:v>
      </x:c>
      <x:c r="S7" s="31" t="str">
        <x:v>WEEK8_SCHEMA_V1.0_PLUS_WEEK10_RESEARCH_RULES</x:v>
      </x:c>
      <x:c r="T7" s="31" t="str">
        <x:v>ACCEPTED_LIMITATION</x:v>
      </x:c>
    </x:row>
  </x:sheetData>
  <x:mergeCells>
    <x:mergeCell ref="A1:T1"/>
    <x:mergeCell ref="A2:T2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6" hidden="0" customWidth="1"/>
    <x:col min="3" max="3" width="20" hidden="0" customWidth="1"/>
    <x:col min="4" max="4" width="20" hidden="0" customWidth="1"/>
    <x:col min="5" max="5" width="16" hidden="0" customWidth="1"/>
    <x:col min="6" max="6" width="52" hidden="0" customWidth="1"/>
  </x:cols>
  <x:sheetData>
    <x:row r="1" ht="30" customHeight="1">
      <x:c r="A1" s="3" t="str">
        <x:v>Week 11扩展性验收检查</x:v>
      </x:c>
      <x:c r="B1" s="3"/>
      <x:c r="C1" s="3"/>
      <x:c r="D1" s="3"/>
      <x:c r="E1" s="3"/>
      <x:c r="F1" s="3"/>
    </x:row>
    <x:row r="2" ht="34" customHeight="1">
      <x:c r="A2" s="7" t="str">
        <x:v>结构、口径、数值、变量和Schema变更检查逐项通过后，才允许给出复用结论。</x:v>
      </x:c>
      <x:c r="B2" s="7"/>
      <x:c r="C2" s="7"/>
      <x:c r="D2" s="7"/>
      <x:c r="E2" s="7"/>
      <x:c r="F2" s="7"/>
    </x:row>
    <x:row r="3">
      <x:c r="A3" s="78"/>
      <x:c r="B3" s="78"/>
      <x:c r="C3" s="78"/>
      <x:c r="D3" s="78"/>
      <x:c r="E3" s="78"/>
      <x:c r="F3" s="78"/>
    </x:row>
    <x:row r="4" ht="30" customHeight="1">
      <x:c r="A4" s="19" t="str">
        <x:v>检查ID</x:v>
      </x:c>
      <x:c r="B4" s="20" t="str">
        <x:v>检查项目</x:v>
      </x:c>
      <x:c r="C4" s="20" t="str">
        <x:v>实际值</x:v>
      </x:c>
      <x:c r="D4" s="20" t="str">
        <x:v>预期值</x:v>
      </x:c>
      <x:c r="E4" s="20" t="str">
        <x:v>状态</x:v>
      </x:c>
      <x:c r="F4" s="21" t="str">
        <x:v>依据</x:v>
      </x:c>
    </x:row>
    <x:row r="5">
      <x:c r="A5" s="29" t="str">
        <x:v>C01</x:v>
      </x:c>
      <x:c r="B5" s="29" t="str">
        <x:v>第九家公司记录</x:v>
      </x:c>
      <x:c r="C5" s="29" t="n">
        <x:v>1</x:v>
      </x:c>
      <x:c r="D5" s="29" t="n">
        <x:v>1</x:v>
      </x:c>
      <x:c r="E5" s="29" t="str">
        <x:f>IF(C5=D5,"PASS","FAIL")</x:f>
        <x:v>PASS</x:v>
      </x:c>
      <x:c r="F5" s="29" t="str">
        <x:v>公司代码301606</x:v>
      </x:c>
    </x:row>
    <x:row r="6">
      <x:c r="A6" s="30" t="str">
        <x:v>C02</x:v>
      </x:c>
      <x:c r="B6" s="30" t="str">
        <x:v>融资轮数</x:v>
      </x:c>
      <x:c r="C6" s="30" t="n">
        <x:v>5</x:v>
      </x:c>
      <x:c r="D6" s="30" t="n">
        <x:v>5</x:v>
      </x:c>
      <x:c r="E6" s="30" t="str">
        <x:f>IF(C6=D6,"PASS","FAIL")</x:f>
        <x:v>PASS</x:v>
      </x:c>
      <x:c r="F6" s="30" t="str">
        <x:v>Week7/8统一口径</x:v>
      </x:c>
    </x:row>
    <x:row r="7">
      <x:c r="A7" s="30" t="str">
        <x:v>C03</x:v>
      </x:c>
      <x:c r="B7" s="30" t="str">
        <x:v>发行人融资金额合计</x:v>
      </x:c>
      <x:c r="C7" s="30" t="n">
        <x:v>32838.569999</x:v>
      </x:c>
      <x:c r="D7" s="30" t="n">
        <x:v>32838.569999</x:v>
      </x:c>
      <x:c r="E7" s="30" t="str">
        <x:f>IF(C7=D7,"PASS","FAIL")</x:f>
        <x:v>PASS</x:v>
      </x:c>
      <x:c r="F7" s="30" t="str">
        <x:v>5轮金额求和</x:v>
      </x:c>
    </x:row>
    <x:row r="8">
      <x:c r="A8" s="30" t="str">
        <x:v>C04</x:v>
      </x:c>
      <x:c r="B8" s="30" t="str">
        <x:v>老股转让未并入融资</x:v>
      </x:c>
      <x:c r="C8" s="30" t="n">
        <x:v>30000</x:v>
      </x:c>
      <x:c r="D8" s="30" t="n">
        <x:v>30000</x:v>
      </x:c>
      <x:c r="E8" s="30" t="str">
        <x:f>IF(C8=D8,"PASS","FAIL")</x:f>
        <x:v>PASS</x:v>
      </x:c>
      <x:c r="F8" s="30" t="str">
        <x:v>两笔转让</x:v>
      </x:c>
    </x:row>
    <x:row r="9">
      <x:c r="A9" s="30" t="str">
        <x:v>C05</x:v>
      </x:c>
      <x:c r="B9" s="30" t="str">
        <x:v>确认PE/VC主体</x:v>
      </x:c>
      <x:c r="C9" s="30" t="n">
        <x:v>2</x:v>
      </x:c>
      <x:c r="D9" s="30" t="n">
        <x:v>2</x:v>
      </x:c>
      <x:c r="E9" s="30" t="str">
        <x:f>IF(C9=D9,"PASS","FAIL")</x:f>
        <x:v>PASS</x:v>
      </x:c>
      <x:c r="F9" s="30" t="str">
        <x:v>高瓴锡恒、坚果核力</x:v>
      </x:c>
    </x:row>
    <x:row r="10">
      <x:c r="A10" s="30" t="str">
        <x:v>C06</x:v>
      </x:c>
      <x:c r="B10" s="30" t="str">
        <x:v>9张标准表均生成</x:v>
      </x:c>
      <x:c r="C10" s="30" t="n">
        <x:v>9</x:v>
      </x:c>
      <x:c r="D10" s="30" t="n">
        <x:v>9</x:v>
      </x:c>
      <x:c r="E10" s="30" t="str">
        <x:f>IF(C10=D10,"PASS","FAIL")</x:f>
        <x:v>PASS</x:v>
      </x:c>
      <x:c r="F10" s="30" t="str">
        <x:v>Week8 Schema v1.0</x:v>
      </x:c>
    </x:row>
    <x:row r="11">
      <x:c r="A11" s="30" t="str">
        <x:v>C07</x:v>
      </x:c>
      <x:c r="B11" s="30" t="str">
        <x:v>32个变量均完成判断</x:v>
      </x:c>
      <x:c r="C11" s="30" t="n">
        <x:v>32</x:v>
      </x:c>
      <x:c r="D11" s="30" t="n">
        <x:v>32</x:v>
      </x:c>
      <x:c r="E11" s="30" t="str">
        <x:f>IF(C11=D11,"PASS","FAIL")</x:f>
        <x:v>PASS</x:v>
      </x:c>
      <x:c r="F11" s="30" t="str">
        <x:v>Week9冻结变量字典</x:v>
      </x:c>
    </x:row>
    <x:row r="12">
      <x:c r="A12" s="30" t="str">
        <x:v>C08</x:v>
      </x:c>
      <x:c r="B12" s="30" t="str">
        <x:v>可计算变量</x:v>
      </x:c>
      <x:c r="C12" s="30" t="n">
        <x:v>32</x:v>
      </x:c>
      <x:c r="D12" s="30" t="n">
        <x:v>32</x:v>
      </x:c>
      <x:c r="E12" s="30" t="str">
        <x:f>IF(C12=D12,"PASS","FAIL")</x:f>
        <x:v>PASS</x:v>
      </x:c>
      <x:c r="F12" s="30" t="str">
        <x:v>绿联披露覆盖</x:v>
      </x:c>
    </x:row>
    <x:row r="13">
      <x:c r="A13" s="30" t="str">
        <x:v>C09</x:v>
      </x:c>
      <x:c r="B13" s="30" t="str">
        <x:v>数值校验无FAIL</x:v>
      </x:c>
      <x:c r="C13" s="30" t="n">
        <x:v>0</x:v>
      </x:c>
      <x:c r="D13" s="30" t="n">
        <x:v>0</x:v>
      </x:c>
      <x:c r="E13" s="30" t="str">
        <x:f>IF(C13=D13,"PASS","FAIL")</x:f>
        <x:v>PASS</x:v>
      </x:c>
      <x:c r="F13" s="30" t="str">
        <x:v>容差规则</x:v>
      </x:c>
    </x:row>
    <x:row r="14">
      <x:c r="A14" s="30" t="str">
        <x:v>C10</x:v>
      </x:c>
      <x:c r="B14" s="30" t="str">
        <x:v>Schema变更需求</x:v>
      </x:c>
      <x:c r="C14" s="30" t="n">
        <x:v>0</x:v>
      </x:c>
      <x:c r="D14" s="30" t="n">
        <x:v>0</x:v>
      </x:c>
      <x:c r="E14" s="30" t="str">
        <x:f>IF(C14=D14,"PASS","FAIL")</x:f>
        <x:v>PASS</x:v>
      </x:c>
      <x:c r="F14" s="30" t="str">
        <x:v>9表复用判断</x:v>
      </x:c>
    </x:row>
    <x:row r="15">
      <x:c r="A15" s="30" t="str">
        <x:v>C11</x:v>
      </x:c>
      <x:c r="B15" s="30" t="str">
        <x:v>必填字段错误</x:v>
      </x:c>
      <x:c r="C15" s="30" t="n">
        <x:v>0</x:v>
      </x:c>
      <x:c r="D15" s="30" t="n">
        <x:v>0</x:v>
      </x:c>
      <x:c r="E15" s="30" t="str">
        <x:f>IF(C15=D15,"PASS","FAIL")</x:f>
        <x:v>PASS</x:v>
      </x:c>
      <x:c r="F15" s="30" t="str">
        <x:v>Schema required_level</x:v>
      </x:c>
    </x:row>
    <x:row r="16">
      <x:c r="A16" s="30" t="str">
        <x:v>C12</x:v>
      </x:c>
      <x:c r="B16" s="30" t="str">
        <x:v>枚举值错误</x:v>
      </x:c>
      <x:c r="C16" s="30" t="n">
        <x:v>0</x:v>
      </x:c>
      <x:c r="D16" s="30" t="n">
        <x:v>0</x:v>
      </x:c>
      <x:c r="E16" s="30" t="str">
        <x:f>IF(C16=D16,"PASS","FAIL")</x:f>
        <x:v>PASS</x:v>
      </x:c>
      <x:c r="F16" s="30" t="str">
        <x:v>Schema allowed_values</x:v>
      </x:c>
    </x:row>
    <x:row r="17">
      <x:c r="A17" s="30" t="str">
        <x:v>C13</x:v>
      </x:c>
      <x:c r="B17" s="30" t="str">
        <x:v>外键错误</x:v>
      </x:c>
      <x:c r="C17" s="30" t="n">
        <x:v>0</x:v>
      </x:c>
      <x:c r="D17" s="30" t="n">
        <x:v>0</x:v>
      </x:c>
      <x:c r="E17" s="30" t="str">
        <x:f>IF(C17=D17,"PASS","FAIL")</x:f>
        <x:v>PASS</x:v>
      </x:c>
      <x:c r="F17" s="30" t="str">
        <x:v>event/transaction/entity/evidence关系</x:v>
      </x:c>
    </x:row>
    <x:row r="18">
      <x:c r="A18" s="30" t="str">
        <x:v>C14</x:v>
      </x:c>
      <x:c r="B18" s="30" t="str">
        <x:v>九家公司合并记录</x:v>
      </x:c>
      <x:c r="C18" s="30" t="n">
        <x:v>9</x:v>
      </x:c>
      <x:c r="D18" s="30" t="n">
        <x:v>9</x:v>
      </x:c>
      <x:c r="E18" s="30" t="str">
        <x:f>IF(C18=D18,"PASS","FAIL")</x:f>
        <x:v>PASS</x:v>
      </x:c>
      <x:c r="F18" s="30" t="str">
        <x:v>Week8冻结层加Week11扩展层</x:v>
      </x:c>
    </x:row>
    <x:row r="19">
      <x:c r="A19" s="30" t="str">
        <x:v>C15</x:v>
      </x:c>
      <x:c r="B19" s="30" t="str">
        <x:v>合并层标准表数量</x:v>
      </x:c>
      <x:c r="C19" s="30" t="n">
        <x:v>9</x:v>
      </x:c>
      <x:c r="D19" s="30" t="n">
        <x:v>9</x:v>
      </x:c>
      <x:c r="E19" s="30" t="str">
        <x:f>IF(C19=D19,"PASS","FAIL")</x:f>
        <x:v>PASS</x:v>
      </x:c>
      <x:c r="F19" s="30" t="str">
        <x:v>沿用Week8 Schema v1.0</x:v>
      </x:c>
    </x:row>
    <x:row r="20">
      <x:c r="A20" s="30" t="str">
        <x:v>C16</x:v>
      </x:c>
      <x:c r="B20" s="30" t="str">
        <x:v>合并层主键重复</x:v>
      </x:c>
      <x:c r="C20" s="30" t="n">
        <x:v>0</x:v>
      </x:c>
      <x:c r="D20" s="30" t="n">
        <x:v>0</x:v>
      </x:c>
      <x:c r="E20" s="30" t="str">
        <x:f>IF(C20=D20,"PASS","FAIL")</x:f>
        <x:v>PASS</x:v>
      </x:c>
      <x:c r="F20" s="30" t="str">
        <x:v>9张表逐表检查主键</x:v>
      </x:c>
    </x:row>
    <x:row r="21">
      <x:c r="A21" s="31" t="str">
        <x:v>C17</x:v>
      </x:c>
      <x:c r="B21" s="31" t="str">
        <x:v>合并层新增外键错误</x:v>
      </x:c>
      <x:c r="C21" s="31" t="n">
        <x:v>0</x:v>
      </x:c>
      <x:c r="D21" s="31" t="n">
        <x:v>0</x:v>
      </x:c>
      <x:c r="E21" s="31" t="str">
        <x:f>IF(C21=D21,"PASS","FAIL")</x:f>
        <x:v>PASS</x:v>
      </x:c>
      <x:c r="F21" s="31" t="str">
        <x:v>冻结层既有例外不扩大</x:v>
      </x:c>
    </x:row>
  </x:sheetData>
  <x:mergeCells>
    <x:mergeCell ref="A1:F1"/>
    <x:mergeCell ref="A2:F2"/>
  </x:mergeCells>
  <x:conditionalFormatting sqref="E5:E21">
    <x:cfRule type="containsText" dxfId="0" priority="1" operator="containsText" text="PASS"/>
    <x:cfRule type="containsText" dxfId="1" priority="2" operator="containsText" text="FAIL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52" hidden="0" customWidth="1"/>
    <x:col min="3" max="3" width="20" hidden="0" customWidth="1"/>
    <x:col min="4" max="4" width="58" hidden="0" customWidth="1"/>
    <x:col min="5" max="5" width="18" hidden="0" customWidth="1"/>
    <x:col min="6" max="6" width="30" hidden="0" customWidth="1"/>
  </x:cols>
  <x:sheetData>
    <x:row r="1" ht="30" customHeight="1">
      <x:c r="A1" s="3" t="str">
        <x:v>主要事实来源与解释边界</x:v>
      </x:c>
      <x:c r="B1" s="3"/>
      <x:c r="C1" s="3"/>
      <x:c r="D1" s="3"/>
      <x:c r="E1" s="3"/>
      <x:c r="F1" s="3"/>
    </x:row>
    <x:row r="2" ht="34" customHeight="1">
      <x:c r="A2" s="7" t="str">
        <x:v>所有事实以绿联科技正式招股说明书为唯一主要来源；网页仅用于定位正式PDF，不替代PDF证据。</x:v>
      </x:c>
      <x:c r="B2" s="7"/>
      <x:c r="C2" s="7"/>
      <x:c r="D2" s="7"/>
      <x:c r="E2" s="7"/>
      <x:c r="F2" s="7"/>
    </x:row>
    <x:row r="3">
      <x:c r="A3" s="78"/>
      <x:c r="B3" s="78"/>
      <x:c r="C3" s="78"/>
      <x:c r="D3" s="78"/>
      <x:c r="E3" s="78"/>
      <x:c r="F3" s="78"/>
    </x:row>
    <x:row r="4" ht="30" customHeight="1">
      <x:c r="A4" s="19" t="str">
        <x:v>项目</x:v>
      </x:c>
      <x:c r="B4" s="20" t="str">
        <x:v>内容</x:v>
      </x:c>
      <x:c r="C4" s="20" t="str">
        <x:v>项目</x:v>
      </x:c>
      <x:c r="D4" s="20" t="str">
        <x:v>内容</x:v>
      </x:c>
      <x:c r="E4" s="20" t="str">
        <x:v>状态</x:v>
      </x:c>
      <x:c r="F4" s="21" t="str">
        <x:v>说明</x:v>
      </x:c>
    </x:row>
    <x:row r="5">
      <x:c r="A5" s="29" t="str">
        <x:v>公司</x:v>
      </x:c>
      <x:c r="B5" s="29" t="str">
        <x:v>绿联科技</x:v>
      </x:c>
      <x:c r="C5" s="29" t="str">
        <x:v>证券代码</x:v>
      </x:c>
      <x:c r="D5" s="29" t="str">
        <x:v>301606</x:v>
      </x:c>
      <x:c r="E5" s="29" t="str">
        <x:v>已确认</x:v>
      </x:c>
      <x:c r="F5" s="29" t="str">
        <x:v>第九家公司</x:v>
      </x:c>
    </x:row>
    <x:row r="6">
      <x:c r="A6" s="30" t="str">
        <x:v>正式文件</x:v>
      </x:c>
      <x:c r="B6" s="30" t="str">
        <x:v>301606_ugreen_ipo_prospectus_20240719.pdf</x:v>
      </x:c>
      <x:c r="C6" s="30" t="str">
        <x:v>签署日期</x:v>
      </x:c>
      <x:c r="D6" s="30" t="str">
        <x:v>2024-07-19</x:v>
      </x:c>
      <x:c r="E6" s="30" t="str">
        <x:v>已确认</x:v>
      </x:c>
      <x:c r="F6" s="30" t="str">
        <x:v>573页</x:v>
      </x:c>
    </x:row>
    <x:row r="7">
      <x:c r="A7" s="30" t="str">
        <x:v>SHA-256</x:v>
      </x:c>
      <x:c r="B7" s="30" t="str">
        <x:v>870784fb7ef5f4cc7f0a6e5523ce528696e4d38f4e3a815dc672bf42f6d27ad7</x:v>
      </x:c>
      <x:c r="C7" s="30" t="str">
        <x:v>来源URL</x:v>
      </x:c>
      <x:c r="D7" s="30" t="str">
        <x:v>https://file.finance.sina.com.cn/211.154.219.97:9494/MRGG/CNSESZ_STOCK/2024/2024-7/2024-07-19/10336146.PDF</x:v>
      </x:c>
      <x:c r="E7" s="30" t="str">
        <x:v>已确认</x:v>
      </x:c>
      <x:c r="F7" s="30" t="str">
        <x:v>PDF原件校验</x:v>
      </x:c>
    </x:row>
    <x:row r="8">
      <x:c r="A8" s="31" t="str">
        <x:v>主要页码</x:v>
      </x:c>
      <x:c r="B8" s="31" t="str">
        <x:v>PDF第49—55、77、80—85页</x:v>
      </x:c>
      <x:c r="C8" s="31" t="str">
        <x:v>正文页</x:v>
      </x:c>
      <x:c r="D8" s="31" t="str">
        <x:v>第48—54、76、79—84页</x:v>
      </x:c>
      <x:c r="E8" s="31" t="str">
        <x:v>已确认</x:v>
      </x:c>
      <x:c r="F8" s="31" t="str">
        <x:v>事件、主体、路径</x:v>
      </x:c>
    </x:row>
    <x:row r="9">
      <x:c r="A9" s="78"/>
      <x:c r="B9" s="78"/>
      <x:c r="C9" s="78"/>
      <x:c r="D9" s="78"/>
      <x:c r="E9" s="78"/>
      <x:c r="F9" s="78"/>
    </x:row>
    <x:row r="10" ht="24" customHeight="1">
      <x:c r="A10" s="33" t="str">
        <x:v>必须保留的三条解释边界</x:v>
      </x:c>
      <x:c r="B10" s="33"/>
      <x:c r="C10" s="33"/>
      <x:c r="D10" s="33"/>
      <x:c r="E10" s="33"/>
      <x:c r="F10" s="33"/>
    </x:row>
    <x:row r="11" ht="30" customHeight="1">
      <x:c r="A11" s="19" t="str">
        <x:v>边界ID</x:v>
      </x:c>
      <x:c r="B11" s="20" t="str">
        <x:v>问题</x:v>
      </x:c>
      <x:c r="C11" s="20" t="str">
        <x:v>正确解释</x:v>
      </x:c>
      <x:c r="D11" s="20" t="str">
        <x:v>错误做法</x:v>
      </x:c>
      <x:c r="E11" s="20" t="str">
        <x:v>是否改Schema</x:v>
      </x:c>
      <x:c r="F11" s="21" t="str">
        <x:v>处理状态</x:v>
      </x:c>
    </x:row>
    <x:row r="12">
      <x:c r="A12" s="29" t="str">
        <x:v>B01</x:v>
      </x:c>
      <x:c r="B12" s="29" t="str">
        <x:v>高瓴先受让老股、后增资</x:v>
      </x:c>
      <x:c r="C12" s="29" t="str">
        <x:v>3亿元受让不计发行人融资；2.5亿元后续增资计融资</x:v>
      </x:c>
      <x:c r="D12" s="29" t="str">
        <x:v>把两者相加为5.5亿元融资</x:v>
      </x:c>
      <x:c r="E12" s="29" t="str">
        <x:v>否</x:v>
      </x:c>
      <x:c r="F12" s="29" t="str">
        <x:v>已解决</x:v>
      </x:c>
    </x:row>
    <x:row r="13">
      <x:c r="A13" s="30" t="str">
        <x:v>B02</x:v>
      </x:c>
      <x:c r="B13" s="30" t="str">
        <x:v>2021年6月有两轮发行</x:v>
      </x:c>
      <x:c r="C13" s="30" t="str">
        <x:v>员工激励与机构融资为独立事件</x:v>
      </x:c>
      <x:c r="D13" s="30" t="str">
        <x:v>仅按月份去重后合并</x:v>
      </x:c>
      <x:c r="E13" s="30" t="str">
        <x:v>否</x:v>
      </x:c>
      <x:c r="F13" s="30" t="str">
        <x:v>已解决</x:v>
      </x:c>
    </x:row>
    <x:row r="14">
      <x:c r="A14" s="31" t="str">
        <x:v>B03</x:v>
      </x:c>
      <x:c r="B14" s="31" t="str">
        <x:v>高瓴直接载体不属于备案基金</x:v>
      </x:c>
      <x:c r="C14" s="31" t="str">
        <x:v>结合招股书知名投资机构表述与底层基金证据确认</x:v>
      </x:c>
      <x:c r="D14" s="31" t="str">
        <x:v>只按直接主体备案机械排除</x:v>
      </x:c>
      <x:c r="E14" s="31" t="str">
        <x:v>否</x:v>
      </x:c>
      <x:c r="F14" s="31" t="str">
        <x:v>已解决</x:v>
      </x:c>
    </x:row>
  </x:sheetData>
  <x:mergeCells>
    <x:mergeCell ref="A1:F1"/>
    <x:mergeCell ref="A2:F2"/>
    <x:mergeCell ref="A10:F10"/>
  </x:mergeCells>
  <x:pageMargins left="0.7" right="0.7" top="0.75" bottom="0.75" header="0.3" footer="0.3"/>
</x:worksheet>
</file>